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3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4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我的坚果云\杂七杂八\董志军\"/>
    </mc:Choice>
  </mc:AlternateContent>
  <bookViews>
    <workbookView xWindow="0" yWindow="0" windowWidth="20385" windowHeight="8385"/>
  </bookViews>
  <sheets>
    <sheet name="调料类" sheetId="3" r:id="rId1"/>
    <sheet name="荤菜类" sheetId="6" r:id="rId2"/>
    <sheet name="蔬菜类" sheetId="5" r:id="rId3"/>
    <sheet name="水果类" sheetId="7" r:id="rId4"/>
    <sheet name="原料数据" sheetId="4" state="hidden" r:id="rId5"/>
  </sheets>
  <functionGroups builtInGroupCount="18"/>
  <definedNames>
    <definedName name="_xlnm.Print_Area" localSheetId="1">荤菜类!$A$1:$H$25</definedName>
    <definedName name="_xlnm.Print_Area" localSheetId="2">蔬菜类!$A$1:$H$25</definedName>
    <definedName name="_xlnm.Print_Area" localSheetId="3">水果类!$A$1:$H$25</definedName>
    <definedName name="_xlnm.Print_Area" localSheetId="0">调料类!$A$1:$H$25</definedName>
    <definedName name="_xlnm.Print_Titles" localSheetId="1">荤菜类!$1:$6</definedName>
    <definedName name="_xlnm.Print_Titles" localSheetId="2">蔬菜类!$1:$6</definedName>
    <definedName name="_xlnm.Print_Titles" localSheetId="3">水果类!$1:$6</definedName>
    <definedName name="_xlnm.Print_Titles" localSheetId="0">调料类!$1:$6</definedName>
  </definedNames>
  <calcPr calcId="152511"/>
</workbook>
</file>

<file path=xl/calcChain.xml><?xml version="1.0" encoding="utf-8"?>
<calcChain xmlns="http://schemas.openxmlformats.org/spreadsheetml/2006/main">
  <c r="A43" i="7" l="1"/>
  <c r="C41" i="7"/>
  <c r="E39" i="7"/>
  <c r="B39" i="7"/>
  <c r="G38" i="7"/>
  <c r="G37" i="7"/>
  <c r="G36" i="7"/>
  <c r="G35" i="7"/>
  <c r="G34" i="7"/>
  <c r="G33" i="7"/>
  <c r="G32" i="7"/>
  <c r="G31" i="7"/>
  <c r="G30" i="7"/>
  <c r="G29" i="7"/>
  <c r="G28" i="7"/>
  <c r="G27" i="7"/>
  <c r="G39" i="7" s="1"/>
  <c r="C22" i="7"/>
  <c r="A22" i="7"/>
  <c r="A41" i="7" s="1"/>
  <c r="E20" i="7"/>
  <c r="G19" i="7"/>
  <c r="G18" i="7"/>
  <c r="G17" i="7"/>
  <c r="M16" i="7"/>
  <c r="J16" i="7"/>
  <c r="G16" i="7"/>
  <c r="G15" i="7"/>
  <c r="G14" i="7"/>
  <c r="G13" i="7"/>
  <c r="J12" i="7"/>
  <c r="G12" i="7"/>
  <c r="G11" i="7"/>
  <c r="J10" i="7"/>
  <c r="G10" i="7"/>
  <c r="G9" i="7"/>
  <c r="J8" i="7"/>
  <c r="G8" i="7"/>
  <c r="C5" i="7"/>
  <c r="A5" i="7"/>
  <c r="F4" i="7"/>
  <c r="C4" i="7"/>
  <c r="A4" i="7"/>
  <c r="F3" i="7"/>
  <c r="C3" i="7"/>
  <c r="A3" i="7"/>
  <c r="A1" i="7"/>
  <c r="A43" i="5"/>
  <c r="C41" i="5"/>
  <c r="A41" i="5"/>
  <c r="E39" i="5"/>
  <c r="B39" i="5"/>
  <c r="G38" i="5"/>
  <c r="G37" i="5"/>
  <c r="G36" i="5"/>
  <c r="G35" i="5"/>
  <c r="G34" i="5"/>
  <c r="G33" i="5"/>
  <c r="G32" i="5"/>
  <c r="G31" i="5"/>
  <c r="G30" i="5"/>
  <c r="G29" i="5"/>
  <c r="G28" i="5"/>
  <c r="G27" i="5"/>
  <c r="C22" i="5"/>
  <c r="A22" i="5"/>
  <c r="E20" i="5"/>
  <c r="G19" i="5"/>
  <c r="G18" i="5"/>
  <c r="G17" i="5"/>
  <c r="M16" i="5"/>
  <c r="J16" i="5"/>
  <c r="G16" i="5"/>
  <c r="G15" i="5"/>
  <c r="G14" i="5"/>
  <c r="G13" i="5"/>
  <c r="J12" i="5"/>
  <c r="G12" i="5"/>
  <c r="G11" i="5"/>
  <c r="J10" i="5"/>
  <c r="G10" i="5"/>
  <c r="G9" i="5"/>
  <c r="J8" i="5"/>
  <c r="G8" i="5"/>
  <c r="C5" i="5"/>
  <c r="A5" i="5"/>
  <c r="F4" i="5"/>
  <c r="C4" i="5"/>
  <c r="A4" i="5"/>
  <c r="F3" i="5"/>
  <c r="C3" i="5"/>
  <c r="A3" i="5"/>
  <c r="A1" i="5"/>
  <c r="A43" i="6"/>
  <c r="C41" i="6"/>
  <c r="E39" i="6"/>
  <c r="B39" i="6"/>
  <c r="G38" i="6"/>
  <c r="G37" i="6"/>
  <c r="G36" i="6"/>
  <c r="G35" i="6"/>
  <c r="G34" i="6"/>
  <c r="G33" i="6"/>
  <c r="G32" i="6"/>
  <c r="G31" i="6"/>
  <c r="G30" i="6"/>
  <c r="G29" i="6"/>
  <c r="G28" i="6"/>
  <c r="G27" i="6"/>
  <c r="C22" i="6"/>
  <c r="A22" i="6"/>
  <c r="A41" i="6" s="1"/>
  <c r="E20" i="6"/>
  <c r="G19" i="6"/>
  <c r="G18" i="6"/>
  <c r="G17" i="6"/>
  <c r="M16" i="6"/>
  <c r="J16" i="6"/>
  <c r="G16" i="6"/>
  <c r="G15" i="6"/>
  <c r="G14" i="6"/>
  <c r="G13" i="6"/>
  <c r="J12" i="6"/>
  <c r="G12" i="6"/>
  <c r="G11" i="6"/>
  <c r="J10" i="6"/>
  <c r="G10" i="6"/>
  <c r="G20" i="6" s="1"/>
  <c r="G9" i="6"/>
  <c r="J8" i="6"/>
  <c r="G8" i="6"/>
  <c r="C5" i="6"/>
  <c r="A5" i="6"/>
  <c r="F4" i="6"/>
  <c r="C4" i="6"/>
  <c r="A4" i="6"/>
  <c r="F3" i="6"/>
  <c r="C3" i="6"/>
  <c r="A3" i="6"/>
  <c r="A1" i="6"/>
  <c r="A43" i="3"/>
  <c r="C41" i="3"/>
  <c r="A41" i="3"/>
  <c r="E39" i="3"/>
  <c r="B39" i="3"/>
  <c r="G38" i="3"/>
  <c r="G37" i="3"/>
  <c r="G36" i="3"/>
  <c r="G35" i="3"/>
  <c r="G34" i="3"/>
  <c r="G33" i="3"/>
  <c r="G32" i="3"/>
  <c r="G31" i="3"/>
  <c r="G30" i="3"/>
  <c r="G29" i="3"/>
  <c r="G28" i="3"/>
  <c r="G27" i="3"/>
  <c r="J24" i="3"/>
  <c r="C22" i="3"/>
  <c r="A22" i="3"/>
  <c r="E20" i="3"/>
  <c r="G19" i="3"/>
  <c r="G18" i="3"/>
  <c r="G17" i="3"/>
  <c r="M16" i="3"/>
  <c r="J16" i="3"/>
  <c r="G16" i="3"/>
  <c r="G15" i="3"/>
  <c r="G14" i="3"/>
  <c r="G13" i="3"/>
  <c r="J12" i="3"/>
  <c r="G12" i="3"/>
  <c r="G11" i="3"/>
  <c r="J10" i="3"/>
  <c r="G10" i="3"/>
  <c r="G9" i="3"/>
  <c r="J8" i="3"/>
  <c r="G8" i="3"/>
  <c r="C5" i="3"/>
  <c r="A5" i="3"/>
  <c r="F4" i="3"/>
  <c r="C4" i="3"/>
  <c r="A4" i="3"/>
  <c r="F3" i="3"/>
  <c r="C3" i="3"/>
  <c r="A3" i="3"/>
  <c r="A1" i="3"/>
  <c r="G39" i="3" l="1"/>
  <c r="F22" i="3" s="1"/>
  <c r="G20" i="3"/>
  <c r="G39" i="6"/>
  <c r="F22" i="6" s="1"/>
  <c r="G39" i="5"/>
  <c r="G20" i="5"/>
  <c r="G20" i="7"/>
  <c r="F22" i="7"/>
  <c r="F22" i="5" l="1"/>
  <c r="F41" i="5" s="1"/>
  <c r="J14" i="6"/>
  <c r="F41" i="6"/>
  <c r="J14" i="3"/>
  <c r="F41" i="3"/>
  <c r="F41" i="7"/>
  <c r="J14" i="7"/>
  <c r="J14" i="5" l="1"/>
</calcChain>
</file>

<file path=xl/sharedStrings.xml><?xml version="1.0" encoding="utf-8"?>
<sst xmlns="http://schemas.openxmlformats.org/spreadsheetml/2006/main" count="1432" uniqueCount="607">
  <si>
    <t/>
  </si>
  <si>
    <t>编号:</t>
  </si>
  <si>
    <r>
      <t>录单日期</t>
    </r>
    <r>
      <rPr>
        <sz val="10"/>
        <color rgb="FF5B9BD5"/>
        <rFont val="Arial"/>
        <family val="2"/>
      </rPr>
      <t>:</t>
    </r>
  </si>
  <si>
    <t>制单人:</t>
  </si>
  <si>
    <t>齐凤云(13817497731)</t>
  </si>
  <si>
    <t>采购类别:</t>
  </si>
  <si>
    <t>调料类</t>
  </si>
  <si>
    <t>采购商:</t>
  </si>
  <si>
    <t>上海渭源餐饮管理公司</t>
  </si>
  <si>
    <t>收货人:</t>
  </si>
  <si>
    <t>采购商地址:</t>
  </si>
  <si>
    <t>收货电话:</t>
  </si>
  <si>
    <r>
      <t>随机码</t>
    </r>
    <r>
      <rPr>
        <sz val="10"/>
        <color rgb="FF5B9BD5"/>
        <rFont val="Arial"/>
        <family val="2"/>
      </rPr>
      <t>:</t>
    </r>
  </si>
  <si>
    <t>序号</t>
  </si>
  <si>
    <t>商品名称</t>
  </si>
  <si>
    <t>规格</t>
  </si>
  <si>
    <t>单位</t>
  </si>
  <si>
    <t>实收数量</t>
  </si>
  <si>
    <t>单价/元</t>
  </si>
  <si>
    <t>金额</t>
  </si>
  <si>
    <t>备注</t>
  </si>
  <si>
    <t>辅助序号</t>
  </si>
  <si>
    <t>供应商:</t>
  </si>
  <si>
    <t>上海丰欢农业科技有限公司</t>
  </si>
  <si>
    <t>税号:</t>
  </si>
  <si>
    <r>
      <t>打印页数</t>
    </r>
    <r>
      <rPr>
        <b/>
        <sz val="11"/>
        <color rgb="FF5B9BD5"/>
        <rFont val="Arial"/>
        <family val="2"/>
      </rPr>
      <t>:</t>
    </r>
  </si>
  <si>
    <t>autopdf-false</t>
  </si>
  <si>
    <t>本页合计</t>
  </si>
  <si>
    <t>步骤：①重置表格&gt;&gt; ②录入数据&gt;&gt; ③打印&gt;&gt; ④另存为(留底)</t>
  </si>
  <si>
    <t>送货单位(签字):</t>
  </si>
  <si>
    <t>收货单位(签字):</t>
  </si>
  <si>
    <t>谢谢您的惠顾，我们会竭诚为您提供最好的商品和服务。</t>
  </si>
  <si>
    <t>打印机:</t>
  </si>
  <si>
    <t>纸张：</t>
  </si>
  <si>
    <t>荤菜类</t>
  </si>
  <si>
    <t>蔬菜类</t>
  </si>
  <si>
    <t>水果类</t>
  </si>
  <si>
    <t>单价</t>
  </si>
  <si>
    <t>更新时间:</t>
  </si>
  <si>
    <t>大虾</t>
  </si>
  <si>
    <t>盒</t>
  </si>
  <si>
    <t>西班牙香肠</t>
  </si>
  <si>
    <t>斤</t>
  </si>
  <si>
    <t>鱿鱼圈</t>
  </si>
  <si>
    <t>牛柳</t>
  </si>
  <si>
    <t>条</t>
  </si>
  <si>
    <t>虾仁</t>
  </si>
  <si>
    <t>培根</t>
  </si>
  <si>
    <t>鸭腿</t>
  </si>
  <si>
    <t>鸡全腿（泰森）</t>
  </si>
  <si>
    <t>罐</t>
  </si>
  <si>
    <t>鹌鹑蛋</t>
  </si>
  <si>
    <t>金枪鱼</t>
  </si>
  <si>
    <t>方火腿</t>
  </si>
  <si>
    <t>童子鸡（整鸡）</t>
  </si>
  <si>
    <t>鸭胸（带皮）</t>
  </si>
  <si>
    <t>牛骨（鲜）</t>
  </si>
  <si>
    <t>羊排（澳菲利）</t>
  </si>
  <si>
    <t>澳洲西冷牛排</t>
  </si>
  <si>
    <t>180克 M3</t>
  </si>
  <si>
    <t>澳洲肉眼牛排</t>
  </si>
  <si>
    <t>200克</t>
  </si>
  <si>
    <t>鸡骨架</t>
  </si>
  <si>
    <t>鸡胸肉大江</t>
  </si>
  <si>
    <t>老鸭</t>
  </si>
  <si>
    <t>三黄鸡</t>
  </si>
  <si>
    <t>只</t>
  </si>
  <si>
    <t>牛腩</t>
  </si>
  <si>
    <t>德国咸猪蹄</t>
  </si>
  <si>
    <t>鸭胸（带皮）A</t>
  </si>
  <si>
    <t>烟熏三文鱼A</t>
  </si>
  <si>
    <t>包</t>
  </si>
  <si>
    <t>1.1kg</t>
  </si>
  <si>
    <t>烟熏三文鱼B</t>
  </si>
  <si>
    <t>0.9kg</t>
  </si>
  <si>
    <t>蟹柳</t>
  </si>
  <si>
    <t>450g</t>
  </si>
  <si>
    <t>精牛肉沫</t>
  </si>
  <si>
    <t>五花肉</t>
  </si>
  <si>
    <t>基围虾</t>
  </si>
  <si>
    <t>澳洲西冷牛排（切割）</t>
  </si>
  <si>
    <t>澳洲肉眼牛排（切割）</t>
  </si>
  <si>
    <t>肋排</t>
  </si>
  <si>
    <t>肉末</t>
  </si>
  <si>
    <t>包装鸡</t>
  </si>
  <si>
    <t>龙骨</t>
  </si>
  <si>
    <t>猪里脊</t>
  </si>
  <si>
    <t>15头大明虾</t>
  </si>
  <si>
    <t>鳗鱼</t>
  </si>
  <si>
    <t>牛蛙</t>
  </si>
  <si>
    <t>扇贝</t>
  </si>
  <si>
    <t>吐司</t>
  </si>
  <si>
    <t>法棍</t>
  </si>
  <si>
    <t>个</t>
  </si>
  <si>
    <t>冰激凌</t>
  </si>
  <si>
    <t>桶</t>
  </si>
  <si>
    <t>黄油安佳</t>
  </si>
  <si>
    <t>箱</t>
  </si>
  <si>
    <t>227g*40</t>
  </si>
  <si>
    <t>雀巢淡奶油</t>
  </si>
  <si>
    <t>1*12*1L</t>
  </si>
  <si>
    <t>白葡萄酒雷司令</t>
  </si>
  <si>
    <t>瓶</t>
  </si>
  <si>
    <t>750ml</t>
  </si>
  <si>
    <t>黑橄榄帝皇</t>
  </si>
  <si>
    <t>1*12*340g</t>
  </si>
  <si>
    <t>红酒</t>
  </si>
  <si>
    <t>色拉油元宝</t>
  </si>
  <si>
    <t>1*4*5L</t>
  </si>
  <si>
    <t>橄榄油欧萨特级</t>
  </si>
  <si>
    <t>1L*12</t>
  </si>
  <si>
    <t>低筋面粉美枚</t>
  </si>
  <si>
    <t>袋</t>
  </si>
  <si>
    <t>22.7kg</t>
  </si>
  <si>
    <t>高筋面粉金像</t>
  </si>
  <si>
    <t>三文尼娜粉</t>
  </si>
  <si>
    <t>1kg</t>
  </si>
  <si>
    <t>芝士粉卡夫</t>
  </si>
  <si>
    <t>1*85g</t>
  </si>
  <si>
    <t>藜麦</t>
  </si>
  <si>
    <t>薏米</t>
  </si>
  <si>
    <t>900g</t>
  </si>
  <si>
    <t>大藏芥末宝年</t>
  </si>
  <si>
    <t>850g</t>
  </si>
  <si>
    <t>柠檬汁新的</t>
  </si>
  <si>
    <t>840ml</t>
  </si>
  <si>
    <t>红酒醋冠利</t>
  </si>
  <si>
    <t>1*500ml</t>
  </si>
  <si>
    <t>桑梅果茸</t>
  </si>
  <si>
    <t>1kg*8</t>
  </si>
  <si>
    <t>杏仁片</t>
  </si>
  <si>
    <t>松仁</t>
  </si>
  <si>
    <t>芥末清水</t>
  </si>
  <si>
    <t>支</t>
  </si>
  <si>
    <t>43g</t>
  </si>
  <si>
    <t>红腰豆百利</t>
  </si>
  <si>
    <t>24*425g</t>
  </si>
  <si>
    <t>连奴豆</t>
  </si>
  <si>
    <t>400g</t>
  </si>
  <si>
    <t>三角豆百利</t>
  </si>
  <si>
    <t>蛋黄酱好乐门</t>
  </si>
  <si>
    <t>1*4*3kg</t>
  </si>
  <si>
    <t>黄芥末旗牌</t>
  </si>
  <si>
    <t>80g</t>
  </si>
  <si>
    <t>酸奶油恩波露</t>
  </si>
  <si>
    <t>250ml</t>
  </si>
  <si>
    <t>橙皮</t>
  </si>
  <si>
    <t>酸黄瓜冠利</t>
  </si>
  <si>
    <t>12*550ml</t>
  </si>
  <si>
    <t>黑芝麻</t>
  </si>
  <si>
    <t>白芝麻</t>
  </si>
  <si>
    <t>玉米粉</t>
  </si>
  <si>
    <t>薯条</t>
  </si>
  <si>
    <t>2kg</t>
  </si>
  <si>
    <t>亨氏番茄沙司</t>
  </si>
  <si>
    <t>3kg</t>
  </si>
  <si>
    <t>亨氏茄膏</t>
  </si>
  <si>
    <t>雀巢牛奶</t>
  </si>
  <si>
    <t>12*1L</t>
  </si>
  <si>
    <t>菠菜薄饼</t>
  </si>
  <si>
    <t>8寸</t>
  </si>
  <si>
    <t>冷冻榴莲泥</t>
  </si>
  <si>
    <t>2.27kg</t>
  </si>
  <si>
    <t>马苏里拉芝士安佳</t>
  </si>
  <si>
    <t>10kg</t>
  </si>
  <si>
    <t>帕玛森芝士A</t>
  </si>
  <si>
    <t>安佳芝士片</t>
  </si>
  <si>
    <t>1.04kg*84片</t>
  </si>
  <si>
    <t>蒸鱼豉油</t>
  </si>
  <si>
    <t>XQ酱</t>
  </si>
  <si>
    <t>家乐鸡粉</t>
  </si>
  <si>
    <t>泰国香米</t>
  </si>
  <si>
    <t>梗米</t>
  </si>
  <si>
    <t>意面5#莫莉</t>
  </si>
  <si>
    <t>500g</t>
  </si>
  <si>
    <t>初榨橄榄油铁桶欧萨</t>
  </si>
  <si>
    <t>3L</t>
  </si>
  <si>
    <t>普通果榨橄榄油瓶装</t>
  </si>
  <si>
    <t>1L</t>
  </si>
  <si>
    <t>帕玛森芝士B</t>
  </si>
  <si>
    <t>泰国香米A</t>
  </si>
  <si>
    <t>粳米A</t>
  </si>
  <si>
    <t>茴香酒</t>
  </si>
  <si>
    <t>700ml</t>
  </si>
  <si>
    <t>青果酱</t>
  </si>
  <si>
    <t>巧克力酱</t>
  </si>
  <si>
    <t>680g</t>
  </si>
  <si>
    <t>味好美牛排料</t>
  </si>
  <si>
    <t>737g</t>
  </si>
  <si>
    <t>红鱼籽</t>
  </si>
  <si>
    <t>100g</t>
  </si>
  <si>
    <t>油浸番茄干维苏</t>
  </si>
  <si>
    <t>280g</t>
  </si>
  <si>
    <t>美国辣椒籽</t>
  </si>
  <si>
    <t>60ml</t>
  </si>
  <si>
    <t>李派林籽</t>
  </si>
  <si>
    <t>290ml</t>
  </si>
  <si>
    <t>墨鱼仔酱</t>
  </si>
  <si>
    <t>葡萄干</t>
  </si>
  <si>
    <t>松露酱</t>
  </si>
  <si>
    <t>180g</t>
  </si>
  <si>
    <t>君度酒</t>
  </si>
  <si>
    <t>银鱼柳海中厨</t>
  </si>
  <si>
    <t>48g</t>
  </si>
  <si>
    <t>170g</t>
  </si>
  <si>
    <t>普通盐</t>
  </si>
  <si>
    <t>苹果醋海天</t>
  </si>
  <si>
    <t>450ml</t>
  </si>
  <si>
    <t>香醋</t>
  </si>
  <si>
    <t>500ml</t>
  </si>
  <si>
    <t>辣酱油</t>
  </si>
  <si>
    <t>630ml</t>
  </si>
  <si>
    <t>乌冬面</t>
  </si>
  <si>
    <t>200g*30</t>
  </si>
  <si>
    <t>二锅头</t>
  </si>
  <si>
    <t>墨鱼汁</t>
  </si>
  <si>
    <t>冠利香醋沙拉汁</t>
  </si>
  <si>
    <t>粗粒芥末</t>
  </si>
  <si>
    <t>810g</t>
  </si>
  <si>
    <t>核桃仁</t>
  </si>
  <si>
    <t>白胡椒粒</t>
  </si>
  <si>
    <t>花生油</t>
  </si>
  <si>
    <t>5L</t>
  </si>
  <si>
    <t>海盐片</t>
  </si>
  <si>
    <t>250g</t>
  </si>
  <si>
    <t>梅菜心</t>
  </si>
  <si>
    <t>6KG</t>
  </si>
  <si>
    <t>意面</t>
  </si>
  <si>
    <t>3kg*5</t>
  </si>
  <si>
    <t>海盐</t>
  </si>
  <si>
    <t>1.36kg</t>
  </si>
  <si>
    <t>香菜籽味好美</t>
  </si>
  <si>
    <t>397g</t>
  </si>
  <si>
    <t>麦芽糖浆</t>
  </si>
  <si>
    <t>蛋黄酱味好美</t>
  </si>
  <si>
    <t>紫菜</t>
  </si>
  <si>
    <t>干木耳</t>
  </si>
  <si>
    <t>擦手纸A</t>
  </si>
  <si>
    <t>月桂叶味好美</t>
  </si>
  <si>
    <t>56g</t>
  </si>
  <si>
    <t>黑胡椒碎味好美</t>
  </si>
  <si>
    <t>453g</t>
  </si>
  <si>
    <t>墨鱼汁面</t>
  </si>
  <si>
    <t>蓝莓酱料味好美</t>
  </si>
  <si>
    <t>黑醋冠利</t>
  </si>
  <si>
    <t>百里香味好美</t>
  </si>
  <si>
    <t>198g</t>
  </si>
  <si>
    <t>蛋黄酱亨氏</t>
  </si>
  <si>
    <t>3.2kg</t>
  </si>
  <si>
    <t>快乐主人面包糠</t>
  </si>
  <si>
    <t>竹签</t>
  </si>
  <si>
    <t>黑胡椒粉味好美</t>
  </si>
  <si>
    <t>425g</t>
  </si>
  <si>
    <t>香菜籽</t>
  </si>
  <si>
    <t>意大利玉米粉</t>
  </si>
  <si>
    <t>375g</t>
  </si>
  <si>
    <t>汇源橙汁</t>
  </si>
  <si>
    <t>雪花面包糠</t>
  </si>
  <si>
    <t>酱料瓶</t>
  </si>
  <si>
    <t>混合莓果</t>
  </si>
  <si>
    <t>黄汁粉家乐</t>
  </si>
  <si>
    <t>800g</t>
  </si>
  <si>
    <t>牛肉粉美极</t>
  </si>
  <si>
    <t>600g</t>
  </si>
  <si>
    <t>淡奶</t>
  </si>
  <si>
    <t>410g</t>
  </si>
  <si>
    <t>光明原味发酵乳</t>
  </si>
  <si>
    <t>105L</t>
  </si>
  <si>
    <t>花生酱四季宝</t>
  </si>
  <si>
    <t>510g</t>
  </si>
  <si>
    <t>披萨薄饼</t>
  </si>
  <si>
    <t>9寸6kg</t>
  </si>
  <si>
    <t>安佳淡奶油</t>
  </si>
  <si>
    <t>玫瑰海盐</t>
  </si>
  <si>
    <t>280公克</t>
  </si>
  <si>
    <t>冠利白醋</t>
  </si>
  <si>
    <t>沙拉酱丘比</t>
  </si>
  <si>
    <t>1.5L</t>
  </si>
  <si>
    <t>戴维娜意粉</t>
  </si>
  <si>
    <t>36*500克</t>
  </si>
  <si>
    <t>玉米罐头</t>
  </si>
  <si>
    <t>420克</t>
  </si>
  <si>
    <t>椰浆</t>
  </si>
  <si>
    <t>酸辣酱</t>
  </si>
  <si>
    <t>玉米笋</t>
  </si>
  <si>
    <t>黄金酥皮</t>
  </si>
  <si>
    <t>白洋葱</t>
  </si>
  <si>
    <t>西芹</t>
  </si>
  <si>
    <t>球生菜</t>
  </si>
  <si>
    <t>蒜子</t>
  </si>
  <si>
    <t>平叶芹</t>
  </si>
  <si>
    <t>百里香</t>
  </si>
  <si>
    <t>迷迭香</t>
  </si>
  <si>
    <t>球茎茴香</t>
  </si>
  <si>
    <t>尖椒（小）</t>
  </si>
  <si>
    <t>菠菜</t>
  </si>
  <si>
    <t>芝麻菜</t>
  </si>
  <si>
    <t>胡萝卜</t>
  </si>
  <si>
    <t>罗勒叶</t>
  </si>
  <si>
    <t>卷心菜</t>
  </si>
  <si>
    <t>节瓜</t>
  </si>
  <si>
    <t>芦笋</t>
  </si>
  <si>
    <t>青圆椒</t>
  </si>
  <si>
    <t>青长椒</t>
  </si>
  <si>
    <t>红长椒</t>
  </si>
  <si>
    <t>苦菊</t>
  </si>
  <si>
    <t>红叶生菜</t>
  </si>
  <si>
    <t>沙姜</t>
  </si>
  <si>
    <t>紫薯</t>
  </si>
  <si>
    <t>西葫芦</t>
  </si>
  <si>
    <t>香菜</t>
  </si>
  <si>
    <t>绿罗马生菜</t>
  </si>
  <si>
    <t>红菜头</t>
  </si>
  <si>
    <t>黄瓜</t>
  </si>
  <si>
    <t>莳萝草</t>
  </si>
  <si>
    <t>刀豆</t>
  </si>
  <si>
    <t>手指胡萝卜</t>
  </si>
  <si>
    <t>花菜</t>
  </si>
  <si>
    <t>老南瓜</t>
  </si>
  <si>
    <t>红心</t>
  </si>
  <si>
    <t>小葱</t>
  </si>
  <si>
    <t>茄子</t>
  </si>
  <si>
    <t>姜</t>
  </si>
  <si>
    <t>小土豆</t>
  </si>
  <si>
    <t>大土豆</t>
  </si>
  <si>
    <t>荷兰芹</t>
  </si>
  <si>
    <t>兰花</t>
  </si>
  <si>
    <t>束</t>
  </si>
  <si>
    <t>荷兰豆</t>
  </si>
  <si>
    <t>豆角</t>
  </si>
  <si>
    <t>鸡蛋</t>
  </si>
  <si>
    <t>干葱肉</t>
  </si>
  <si>
    <t>大蒜头</t>
  </si>
  <si>
    <t>菠萝</t>
  </si>
  <si>
    <t>混合生菜</t>
  </si>
  <si>
    <t>黄罗马</t>
  </si>
  <si>
    <t>带皮大蒜</t>
  </si>
  <si>
    <t>紫甘蓝</t>
  </si>
  <si>
    <t>去根蘑菇</t>
  </si>
  <si>
    <t>红薯</t>
  </si>
  <si>
    <t>秋葵</t>
  </si>
  <si>
    <t>樱桃萝卜</t>
  </si>
  <si>
    <t>广东菜心</t>
  </si>
  <si>
    <t>红聚聚</t>
  </si>
  <si>
    <t>罗莎绿</t>
  </si>
  <si>
    <t>美人椒</t>
  </si>
  <si>
    <t>大白菜</t>
  </si>
  <si>
    <t>上海青</t>
  </si>
  <si>
    <t>串红黄番茄</t>
  </si>
  <si>
    <t>西蓝花</t>
  </si>
  <si>
    <t>老豆腐</t>
  </si>
  <si>
    <t>白萝卜</t>
  </si>
  <si>
    <t>发香</t>
  </si>
  <si>
    <t>日本小黄瓜</t>
  </si>
  <si>
    <t>马蹄</t>
  </si>
  <si>
    <t>红米苋</t>
  </si>
  <si>
    <t>空心菜</t>
  </si>
  <si>
    <t>鸡毛菜</t>
  </si>
  <si>
    <t>小花</t>
  </si>
  <si>
    <t>牛角椒</t>
  </si>
  <si>
    <t>2019年06月02日 22:01:47</t>
  </si>
  <si>
    <t>4斤</t>
  </si>
  <si>
    <t>小明虾</t>
  </si>
  <si>
    <t>2斤</t>
  </si>
  <si>
    <t>银鱼柳，海鸥</t>
  </si>
  <si>
    <t>三文鱼柳</t>
  </si>
  <si>
    <t>份</t>
  </si>
  <si>
    <t>手枪腿</t>
  </si>
  <si>
    <t>贝柱肉</t>
  </si>
  <si>
    <t>园贝肉</t>
  </si>
  <si>
    <t>大/2斤</t>
  </si>
  <si>
    <t>龙利鱼</t>
  </si>
  <si>
    <t>杂豆</t>
  </si>
  <si>
    <t>花甲</t>
  </si>
  <si>
    <t>羊脖子</t>
  </si>
  <si>
    <t>草鱼</t>
  </si>
  <si>
    <t>手指萝卜</t>
  </si>
  <si>
    <t>小圆子</t>
  </si>
  <si>
    <t>鲜筒骨</t>
  </si>
  <si>
    <t>烟熏鸡肉</t>
  </si>
  <si>
    <t>羊肉卷</t>
  </si>
  <si>
    <t>鲜排骨</t>
  </si>
  <si>
    <t>洋葱圈</t>
  </si>
  <si>
    <t>黄金地瓜条</t>
  </si>
  <si>
    <t>新鲜</t>
  </si>
  <si>
    <t>青口贝</t>
  </si>
  <si>
    <t>大肠</t>
  </si>
  <si>
    <t>日本豆腐</t>
  </si>
  <si>
    <t>洗衣粉</t>
  </si>
  <si>
    <t>肥牛</t>
  </si>
  <si>
    <t>巴比肉包</t>
  </si>
  <si>
    <t>豆浆</t>
  </si>
  <si>
    <t>酸奶</t>
  </si>
  <si>
    <t>鸭</t>
  </si>
  <si>
    <t>老母鸡</t>
  </si>
  <si>
    <t>清水藕片</t>
  </si>
  <si>
    <t>国产西冷</t>
  </si>
  <si>
    <t>猪油</t>
  </si>
  <si>
    <t>小排</t>
  </si>
  <si>
    <t>光明奶粉</t>
  </si>
  <si>
    <t>排骨</t>
  </si>
  <si>
    <t>小馒头</t>
  </si>
  <si>
    <t>7号自封袋</t>
  </si>
  <si>
    <t>奥尔良鸡翅中</t>
  </si>
  <si>
    <t>杭椒</t>
  </si>
  <si>
    <t>西红柿</t>
  </si>
  <si>
    <t>黄彩椒</t>
  </si>
  <si>
    <t>藕</t>
  </si>
  <si>
    <t>冬瓜</t>
  </si>
  <si>
    <t>包菜</t>
  </si>
  <si>
    <t>豌豆</t>
  </si>
  <si>
    <t>小米椒</t>
  </si>
  <si>
    <t>茼蒿</t>
  </si>
  <si>
    <t>红圆椒</t>
  </si>
  <si>
    <t>日本南瓜</t>
  </si>
  <si>
    <t>莴笋肉</t>
  </si>
  <si>
    <t>黄心菜</t>
  </si>
  <si>
    <t>金针菇</t>
  </si>
  <si>
    <t>板栗</t>
  </si>
  <si>
    <t>丝瓜</t>
  </si>
  <si>
    <t>桂花蜜</t>
  </si>
  <si>
    <t>娃娃菜</t>
  </si>
  <si>
    <t>平菇</t>
  </si>
  <si>
    <t>广东丝瓜</t>
  </si>
  <si>
    <t>水萝卜</t>
  </si>
  <si>
    <t>雪菜</t>
  </si>
  <si>
    <t>韭菜</t>
  </si>
  <si>
    <t>线椒</t>
  </si>
  <si>
    <t>酸膜</t>
  </si>
  <si>
    <t>抱子甘蓝</t>
  </si>
  <si>
    <t>串茄</t>
  </si>
  <si>
    <t>香干</t>
  </si>
  <si>
    <t>杏鲍菇</t>
  </si>
  <si>
    <t>白玉菇</t>
  </si>
  <si>
    <t>蟹味菇</t>
  </si>
  <si>
    <t>香菇</t>
  </si>
  <si>
    <t>圣女果</t>
  </si>
  <si>
    <t>千张</t>
  </si>
  <si>
    <t>大葱</t>
  </si>
  <si>
    <t>甜豆</t>
  </si>
  <si>
    <t>网文叶</t>
  </si>
  <si>
    <t>盆</t>
  </si>
  <si>
    <t>铜钱草</t>
  </si>
  <si>
    <t>青大蒜</t>
  </si>
  <si>
    <t>塔菜</t>
  </si>
  <si>
    <t>红菜苗</t>
  </si>
  <si>
    <t>香菜苗</t>
  </si>
  <si>
    <t>油麦菜</t>
  </si>
  <si>
    <t>杭白菜</t>
  </si>
  <si>
    <t>小</t>
  </si>
  <si>
    <t>豆腐</t>
  </si>
  <si>
    <t>韭黄</t>
  </si>
  <si>
    <t>蓬蒿菜</t>
  </si>
  <si>
    <t>油豆腐</t>
  </si>
  <si>
    <t>香芹</t>
  </si>
  <si>
    <t>甜菜头</t>
  </si>
  <si>
    <t>儿菜</t>
  </si>
  <si>
    <t>苦瓜</t>
  </si>
  <si>
    <t>青雪菜</t>
  </si>
  <si>
    <t>绿豆芽</t>
  </si>
  <si>
    <t>琉璃苣</t>
  </si>
  <si>
    <t>玉米棒</t>
  </si>
  <si>
    <t>蒜苔</t>
  </si>
  <si>
    <t>牛皮草</t>
  </si>
  <si>
    <t>黑胡椒粒味好美</t>
  </si>
  <si>
    <t>香叶</t>
  </si>
  <si>
    <t>八角</t>
  </si>
  <si>
    <t>桂皮</t>
  </si>
  <si>
    <t>孜然粉味好美</t>
  </si>
  <si>
    <t>咖仁辣椒粉味好美</t>
  </si>
  <si>
    <t>柿椒粉味好美</t>
  </si>
  <si>
    <t>卡真粉味好美</t>
  </si>
  <si>
    <t>姜黄粉味好美</t>
  </si>
  <si>
    <t>咖喱粉味好美</t>
  </si>
  <si>
    <t>五香粉味好美</t>
  </si>
  <si>
    <t>420g</t>
  </si>
  <si>
    <t>甜椒粉味好美</t>
  </si>
  <si>
    <t>小茴香味好美</t>
  </si>
  <si>
    <t>白胡椒粉味好美</t>
  </si>
  <si>
    <t>草果</t>
  </si>
  <si>
    <t>面包糠（粗）味林</t>
  </si>
  <si>
    <t>1kg*10</t>
  </si>
  <si>
    <t>排骨酱海天</t>
  </si>
  <si>
    <t>15*230G</t>
  </si>
  <si>
    <t>海鲜酱海天</t>
  </si>
  <si>
    <t>15*400G</t>
  </si>
  <si>
    <t>柱侯酱海天</t>
  </si>
  <si>
    <t>15*360G</t>
  </si>
  <si>
    <t>十三香王守义</t>
  </si>
  <si>
    <t>40g</t>
  </si>
  <si>
    <t>鸡粉家乐</t>
  </si>
  <si>
    <t>2kg*6</t>
  </si>
  <si>
    <t>蚝油海天</t>
  </si>
  <si>
    <t>700ML*12</t>
  </si>
  <si>
    <t>风车粉</t>
  </si>
  <si>
    <t>50斤</t>
  </si>
  <si>
    <t>麻油老榨房</t>
  </si>
  <si>
    <t>450ml*20</t>
  </si>
  <si>
    <t>老抽海天</t>
  </si>
  <si>
    <t>1.9l*6</t>
  </si>
  <si>
    <t>生抽海天</t>
  </si>
  <si>
    <t>辣椒油川沙</t>
  </si>
  <si>
    <t>12*450ml</t>
  </si>
  <si>
    <t>黄酒嘉善</t>
  </si>
  <si>
    <t>300ml*40</t>
  </si>
  <si>
    <t>嫩肉粉味好美</t>
  </si>
  <si>
    <t>白糖</t>
  </si>
  <si>
    <t>50kg/袋</t>
  </si>
  <si>
    <t>黄糖</t>
  </si>
  <si>
    <t>香槟醋安奴尼</t>
  </si>
  <si>
    <t>白醋鼎丰</t>
  </si>
  <si>
    <t>500ml*12</t>
  </si>
  <si>
    <t>黑醋卡利亚</t>
  </si>
  <si>
    <t>野山椒辣相公</t>
  </si>
  <si>
    <t>腐乳汁鼎丰</t>
  </si>
  <si>
    <t>440g*12</t>
  </si>
  <si>
    <t>白酒醋冠利</t>
  </si>
  <si>
    <t>500ml*6</t>
  </si>
  <si>
    <t>百利沙拉酱</t>
  </si>
  <si>
    <t>1kg*12</t>
  </si>
  <si>
    <t>油纸45#</t>
  </si>
  <si>
    <t>锡纸614#</t>
  </si>
  <si>
    <t>卷</t>
  </si>
  <si>
    <t>香油</t>
  </si>
  <si>
    <t>糖粉</t>
  </si>
  <si>
    <t>保鲜膜</t>
  </si>
  <si>
    <t>小米椒干</t>
  </si>
  <si>
    <t>辣油</t>
  </si>
  <si>
    <t>泡椒</t>
  </si>
  <si>
    <t>消毒水</t>
  </si>
  <si>
    <t>花生米</t>
  </si>
  <si>
    <t>特辣干辣椒</t>
  </si>
  <si>
    <t>黄桃罐头</t>
  </si>
  <si>
    <t>员工挂面</t>
  </si>
  <si>
    <t>葵花籽油</t>
  </si>
  <si>
    <t>老年奶粉</t>
  </si>
  <si>
    <t>蝴蝶面</t>
  </si>
  <si>
    <t>黑藜麦</t>
  </si>
  <si>
    <t>175##16.5</t>
  </si>
  <si>
    <t>锡纸</t>
  </si>
  <si>
    <t>炼乳</t>
  </si>
  <si>
    <t>橄榄油</t>
  </si>
  <si>
    <t>白醋</t>
  </si>
  <si>
    <t>陈醋</t>
  </si>
  <si>
    <t>老抽</t>
  </si>
  <si>
    <t>韩国泡菜</t>
  </si>
  <si>
    <t>竹荪</t>
  </si>
  <si>
    <t>干山楂</t>
  </si>
  <si>
    <t>干红枣（去核）</t>
  </si>
  <si>
    <t>土豆粉</t>
  </si>
  <si>
    <t>大骨粉</t>
  </si>
  <si>
    <t>猪皮</t>
  </si>
  <si>
    <t>橙汁新的</t>
  </si>
  <si>
    <t>榨菜</t>
  </si>
  <si>
    <t>乌江榨菜</t>
  </si>
  <si>
    <t>火碱</t>
  </si>
  <si>
    <t>25kg</t>
  </si>
  <si>
    <t>乡巴佬榨菜</t>
  </si>
  <si>
    <t>车达芝士美迪（白）</t>
  </si>
  <si>
    <t>夏威夷沙拉酱</t>
  </si>
  <si>
    <t>咖喱块</t>
  </si>
  <si>
    <t>哈利克玉米</t>
  </si>
  <si>
    <t>地扪玉米粒</t>
  </si>
  <si>
    <t>罐番茄</t>
  </si>
  <si>
    <t>蚝油</t>
  </si>
  <si>
    <t>生抽</t>
  </si>
  <si>
    <t>维加咖喱粉</t>
  </si>
  <si>
    <t>料酒</t>
  </si>
  <si>
    <t>腐竹</t>
  </si>
  <si>
    <t>干辣椒</t>
  </si>
  <si>
    <t>客人米</t>
  </si>
  <si>
    <t>笔管面</t>
  </si>
  <si>
    <t>花椒油</t>
  </si>
  <si>
    <t>辣椒油</t>
  </si>
  <si>
    <t>安井淡奶油</t>
  </si>
  <si>
    <t>冰花酸梅酱</t>
  </si>
  <si>
    <t>话梅</t>
  </si>
  <si>
    <t>酸梅汁</t>
  </si>
  <si>
    <t>海苔粉</t>
  </si>
  <si>
    <t>味精</t>
  </si>
  <si>
    <t>花椒</t>
  </si>
  <si>
    <t>上海白醋</t>
  </si>
  <si>
    <t>泰式甜辣酱</t>
  </si>
  <si>
    <t>华漕面条</t>
  </si>
  <si>
    <t>酸椰菜</t>
  </si>
  <si>
    <t>豆瓣酱</t>
  </si>
  <si>
    <t>小瓶</t>
  </si>
  <si>
    <t>广东米酒</t>
  </si>
  <si>
    <t>老冰糖</t>
  </si>
  <si>
    <t>黑麻油</t>
  </si>
  <si>
    <t>酒酿</t>
  </si>
  <si>
    <t>乌冬面日式</t>
  </si>
  <si>
    <t>昆布</t>
  </si>
  <si>
    <t>七味粉</t>
  </si>
  <si>
    <t>梅子粉</t>
  </si>
  <si>
    <t>虹威</t>
  </si>
  <si>
    <t>芥末子酱</t>
  </si>
  <si>
    <t>和凤沙拉酱</t>
  </si>
  <si>
    <t>日式</t>
  </si>
  <si>
    <t>味岛香松</t>
  </si>
  <si>
    <t>本味林</t>
  </si>
  <si>
    <t>棉花糖</t>
  </si>
  <si>
    <t>&lt;1.1.7 表头信息在这儿修改   &gt;</t>
    <phoneticPr fontId="27" type="noConversion"/>
  </si>
  <si>
    <t>220523</t>
    <phoneticPr fontId="27" type="noConversion"/>
  </si>
  <si>
    <t>220596</t>
    <phoneticPr fontId="27" type="noConversion"/>
  </si>
  <si>
    <t>220554</t>
    <phoneticPr fontId="27" type="noConversion"/>
  </si>
  <si>
    <t>220550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</si>
</sst>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_);\(0.00\)"/>
    <numFmt numFmtId="177" formatCode="#,##0.00_);[Red]\(#,##0.00\)"/>
    <numFmt numFmtId="178" formatCode="[=0]\,&quot;&quot;;General"/>
    <numFmt numFmtId="179" formatCode="[=0]\ &quot;&quot;;0.00"/>
    <numFmt numFmtId="180" formatCode="yyyy/mm/dd"/>
  </numFmts>
  <fonts count="28">
    <font>
      <sz val="10"/>
      <color indexed="8"/>
      <name val="Arial"/>
      <charset val="134"/>
    </font>
    <font>
      <b/>
      <sz val="18"/>
      <color theme="4"/>
      <name val="Arial"/>
      <family val="2"/>
    </font>
    <font>
      <b/>
      <sz val="18"/>
      <color theme="4"/>
      <name val="宋体"/>
      <charset val="134"/>
    </font>
    <font>
      <b/>
      <sz val="18"/>
      <color theme="5"/>
      <name val="宋体"/>
      <charset val="134"/>
    </font>
    <font>
      <b/>
      <sz val="18"/>
      <color theme="5"/>
      <name val="Arial"/>
      <family val="2"/>
    </font>
    <font>
      <sz val="11"/>
      <color theme="1"/>
      <name val="等线"/>
      <charset val="134"/>
    </font>
    <font>
      <sz val="11"/>
      <color theme="0" tint="-0.499984740745262"/>
      <name val="Arial"/>
      <family val="2"/>
    </font>
    <font>
      <sz val="10"/>
      <color theme="4"/>
      <name val="Arial"/>
      <family val="2"/>
    </font>
    <font>
      <b/>
      <sz val="2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2"/>
      <color indexed="8"/>
      <name val="宋体"/>
      <family val="3"/>
      <charset val="134"/>
    </font>
    <font>
      <sz val="11"/>
      <color theme="1"/>
      <name val="Arial Unicode MS"/>
      <family val="2"/>
    </font>
    <font>
      <b/>
      <sz val="18"/>
      <color rgb="FF5B9BD5"/>
      <name val="宋体"/>
      <family val="3"/>
      <charset val="134"/>
    </font>
    <font>
      <sz val="10"/>
      <color theme="0" tint="-0.14993743705557422"/>
      <name val="宋体"/>
      <family val="3"/>
      <charset val="134"/>
    </font>
    <font>
      <sz val="11"/>
      <color theme="0" tint="-0.499984740745262"/>
      <name val="Microsoft YaHei"/>
      <family val="1"/>
    </font>
    <font>
      <sz val="10"/>
      <color rgb="FF5B9BD5"/>
      <name val="宋体"/>
      <family val="3"/>
      <charset val="134"/>
    </font>
    <font>
      <sz val="10"/>
      <color rgb="FF5B9BD5"/>
      <name val="Arial"/>
      <family val="2"/>
    </font>
    <font>
      <sz val="11"/>
      <color theme="0" tint="-0.499984740745262"/>
      <name val="宋体"/>
      <family val="3"/>
      <charset val="134"/>
    </font>
    <font>
      <b/>
      <sz val="11"/>
      <color rgb="FF5B9BD5"/>
      <name val="Arial"/>
      <family val="2"/>
    </font>
    <font>
      <b/>
      <sz val="11"/>
      <color rgb="FF5B9BD5"/>
      <name val="宋体"/>
      <family val="3"/>
      <charset val="134"/>
    </font>
    <font>
      <sz val="11"/>
      <color rgb="FF5B9BD5"/>
      <name val="微软雅黑"/>
      <family val="2"/>
      <charset val="134"/>
    </font>
    <font>
      <b/>
      <sz val="14"/>
      <color rgb="FF5B9BD5"/>
      <name val="宋体"/>
      <family val="3"/>
      <charset val="134"/>
    </font>
    <font>
      <b/>
      <sz val="14"/>
      <color rgb="FF5B9BD5"/>
      <name val="Arial"/>
      <family val="2"/>
    </font>
    <font>
      <sz val="10"/>
      <color rgb="FFFFFFFF"/>
      <name val="Arial"/>
      <family val="2"/>
    </font>
    <font>
      <sz val="10"/>
      <color rgb="FF000000"/>
      <name val="宋体"/>
      <family val="3"/>
      <charset val="134"/>
    </font>
    <font>
      <b/>
      <sz val="12"/>
      <color rgb="FF5B9BD5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9" fontId="26" fillId="0" borderId="0" applyFont="0" applyFill="0" applyBorder="0" applyAlignment="0" applyProtection="0">
      <alignment vertical="center"/>
    </xf>
  </cellStyleXfs>
  <cellXfs count="74">
    <xf numFmtId="0" fontId="0" fillId="0" borderId="0" xfId="0"/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 applyProtection="1">
      <alignment horizontal="center"/>
    </xf>
    <xf numFmtId="0" fontId="0" fillId="0" borderId="0" xfId="0" applyNumberFormat="1" applyProtection="1"/>
    <xf numFmtId="0" fontId="0" fillId="0" borderId="0" xfId="0" applyProtection="1"/>
    <xf numFmtId="0" fontId="0" fillId="0" borderId="0" xfId="0" applyAlignment="1" applyProtection="1">
      <alignment horizontal="right"/>
    </xf>
    <xf numFmtId="178" fontId="0" fillId="0" borderId="0" xfId="0" applyNumberFormat="1" applyAlignment="1" applyProtection="1">
      <alignment horizontal="right"/>
    </xf>
    <xf numFmtId="0" fontId="6" fillId="0" borderId="0" xfId="0" applyFont="1" applyAlignment="1" applyProtection="1">
      <alignment horizontal="center"/>
    </xf>
    <xf numFmtId="0" fontId="7" fillId="0" borderId="0" xfId="0" applyFont="1" applyAlignment="1" applyProtection="1">
      <alignment horizontal="left"/>
    </xf>
    <xf numFmtId="0" fontId="7" fillId="0" borderId="0" xfId="0" applyFont="1" applyProtection="1"/>
    <xf numFmtId="0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1" xfId="0" applyFont="1" applyFill="1" applyBorder="1" applyAlignment="1" applyProtection="1">
      <alignment horizontal="center" vertical="center" wrapText="1"/>
      <protection locked="0"/>
    </xf>
    <xf numFmtId="177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1" xfId="0" applyNumberFormat="1" applyFont="1" applyFill="1" applyBorder="1" applyAlignment="1" applyProtection="1">
      <alignment horizontal="center" vertical="center" wrapText="1"/>
    </xf>
    <xf numFmtId="0" fontId="11" fillId="0" borderId="1" xfId="0" applyFont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 applyProtection="1">
      <alignment horizontal="left" vertical="center" wrapText="1"/>
      <protection locked="0"/>
    </xf>
    <xf numFmtId="0" fontId="9" fillId="2" borderId="1" xfId="0" applyFont="1" applyFill="1" applyBorder="1" applyAlignment="1" applyProtection="1">
      <alignment horizontal="right" vertical="center" wrapText="1"/>
      <protection locked="0"/>
    </xf>
    <xf numFmtId="176" fontId="9" fillId="2" borderId="1" xfId="0" applyNumberFormat="1" applyFont="1" applyFill="1" applyBorder="1" applyAlignment="1" applyProtection="1">
      <alignment horizontal="right" vertical="center" wrapText="1"/>
      <protection locked="0"/>
    </xf>
    <xf numFmtId="179" fontId="9" fillId="2" borderId="1" xfId="0" applyNumberFormat="1" applyFont="1" applyFill="1" applyBorder="1" applyAlignment="1" applyProtection="1">
      <alignment horizontal="right" vertical="center" wrapText="1"/>
    </xf>
    <xf numFmtId="0" fontId="9" fillId="2" borderId="1" xfId="0" applyFont="1" applyFill="1" applyBorder="1" applyAlignment="1" applyProtection="1">
      <alignment horizontal="center" vertical="center" wrapText="1"/>
    </xf>
    <xf numFmtId="0" fontId="9" fillId="2" borderId="1" xfId="0" applyFont="1" applyFill="1" applyBorder="1" applyAlignment="1" applyProtection="1">
      <alignment horizontal="left" vertical="center" wrapText="1"/>
    </xf>
    <xf numFmtId="0" fontId="9" fillId="2" borderId="1" xfId="0" applyFont="1" applyFill="1" applyBorder="1" applyAlignment="1" applyProtection="1">
      <alignment horizontal="right" vertical="center" wrapText="1"/>
    </xf>
    <xf numFmtId="177" fontId="9" fillId="2" borderId="1" xfId="0" applyNumberFormat="1" applyFont="1" applyFill="1" applyBorder="1" applyAlignment="1" applyProtection="1">
      <alignment horizontal="right" vertical="center" wrapText="1"/>
    </xf>
    <xf numFmtId="177" fontId="9" fillId="2" borderId="1" xfId="0" applyNumberFormat="1" applyFont="1" applyFill="1" applyBorder="1" applyAlignment="1" applyProtection="1">
      <alignment horizontal="right" vertical="center" wrapText="1"/>
      <protection locked="0"/>
    </xf>
    <xf numFmtId="177" fontId="9" fillId="2" borderId="1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Border="1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>
      <alignment horizontal="right"/>
    </xf>
    <xf numFmtId="178" fontId="0" fillId="0" borderId="0" xfId="0" applyNumberFormat="1" applyBorder="1" applyAlignment="1" applyProtection="1">
      <alignment horizontal="right"/>
    </xf>
    <xf numFmtId="0" fontId="6" fillId="3" borderId="0" xfId="0" applyFont="1" applyFill="1" applyAlignment="1" applyProtection="1">
      <alignment horizontal="center"/>
    </xf>
    <xf numFmtId="0" fontId="13" fillId="0" borderId="0" xfId="0" applyFont="1" applyAlignment="1" applyProtection="1">
      <alignment horizontal="center" vertical="center"/>
      <protection locked="0"/>
    </xf>
    <xf numFmtId="0" fontId="14" fillId="3" borderId="0" xfId="0" applyFont="1" applyFill="1" applyAlignment="1" applyProtection="1">
      <alignment horizontal="center"/>
    </xf>
    <xf numFmtId="0" fontId="15" fillId="3" borderId="2" xfId="0" applyFont="1" applyFill="1" applyBorder="1" applyProtection="1"/>
    <xf numFmtId="180" fontId="16" fillId="3" borderId="2" xfId="0" applyNumberFormat="1" applyFont="1" applyFill="1" applyBorder="1" applyAlignment="1" applyProtection="1">
      <alignment horizontal="left"/>
      <protection locked="0"/>
    </xf>
    <xf numFmtId="0" fontId="15" fillId="3" borderId="2" xfId="0" applyFont="1" applyFill="1" applyBorder="1" applyProtection="1">
      <protection locked="0"/>
    </xf>
    <xf numFmtId="0" fontId="15" fillId="3" borderId="2" xfId="0" applyFont="1" applyFill="1" applyBorder="1" applyAlignment="1" applyProtection="1">
      <alignment horizontal="left"/>
    </xf>
    <xf numFmtId="0" fontId="15" fillId="3" borderId="2" xfId="0" applyFont="1" applyFill="1" applyBorder="1" applyAlignment="1" applyProtection="1">
      <alignment horizontal="left"/>
      <protection locked="0"/>
    </xf>
    <xf numFmtId="0" fontId="16" fillId="3" borderId="2" xfId="0" applyFont="1" applyFill="1" applyBorder="1" applyAlignment="1" applyProtection="1">
      <alignment horizontal="left"/>
      <protection locked="0"/>
    </xf>
    <xf numFmtId="14" fontId="16" fillId="3" borderId="2" xfId="0" applyNumberFormat="1" applyFont="1" applyFill="1" applyBorder="1" applyProtection="1">
      <protection locked="0"/>
    </xf>
    <xf numFmtId="49" fontId="16" fillId="3" borderId="2" xfId="0" applyNumberFormat="1" applyFont="1" applyFill="1" applyBorder="1" applyAlignment="1" applyProtection="1">
      <alignment horizontal="left"/>
      <protection locked="0"/>
    </xf>
    <xf numFmtId="0" fontId="17" fillId="3" borderId="0" xfId="0" applyFont="1" applyFill="1" applyAlignment="1" applyProtection="1">
      <alignment horizontal="center"/>
    </xf>
    <xf numFmtId="0" fontId="19" fillId="3" borderId="2" xfId="0" applyFont="1" applyFill="1" applyBorder="1" applyAlignment="1" applyProtection="1">
      <alignment horizontal="center"/>
    </xf>
    <xf numFmtId="0" fontId="16" fillId="3" borderId="2" xfId="0" applyFont="1" applyFill="1" applyBorder="1" applyAlignment="1" applyProtection="1">
      <alignment horizontal="left"/>
    </xf>
    <xf numFmtId="0" fontId="16" fillId="3" borderId="2" xfId="0" applyFont="1" applyFill="1" applyBorder="1" applyProtection="1"/>
    <xf numFmtId="0" fontId="16" fillId="3" borderId="2" xfId="0" applyFont="1" applyFill="1" applyBorder="1" applyAlignment="1" applyProtection="1">
      <alignment horizontal="center"/>
      <protection locked="0"/>
    </xf>
    <xf numFmtId="0" fontId="23" fillId="3" borderId="0" xfId="0" applyFont="1" applyFill="1" applyBorder="1" applyAlignment="1" applyProtection="1">
      <alignment horizontal="left"/>
    </xf>
    <xf numFmtId="0" fontId="23" fillId="3" borderId="0" xfId="0" applyFont="1" applyFill="1" applyBorder="1" applyProtection="1"/>
    <xf numFmtId="0" fontId="11" fillId="0" borderId="1" xfId="0" applyFont="1" applyFill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/>
      <protection locked="0"/>
    </xf>
    <xf numFmtId="179" fontId="9" fillId="2" borderId="1" xfId="1" applyNumberFormat="1" applyFont="1" applyFill="1" applyBorder="1" applyAlignment="1" applyProtection="1">
      <alignment horizontal="right" vertical="center" wrapText="1"/>
    </xf>
    <xf numFmtId="58" fontId="9" fillId="2" borderId="1" xfId="0" applyNumberFormat="1" applyFont="1" applyFill="1" applyBorder="1" applyAlignment="1" applyProtection="1">
      <alignment horizontal="left" vertical="center" wrapText="1"/>
      <protection locked="0"/>
    </xf>
    <xf numFmtId="0" fontId="25" fillId="3" borderId="2" xfId="0" applyFont="1" applyFill="1" applyBorder="1" applyAlignment="1" applyProtection="1">
      <alignment horizontal="left" vertical="center" wrapText="1"/>
      <protection locked="0"/>
    </xf>
    <xf numFmtId="0" fontId="25" fillId="3" borderId="2" xfId="0" applyFont="1" applyFill="1" applyBorder="1" applyAlignment="1" applyProtection="1">
      <alignment horizontal="right" vertical="center" wrapText="1"/>
      <protection locked="0"/>
    </xf>
    <xf numFmtId="0" fontId="18" fillId="3" borderId="2" xfId="0" applyFont="1" applyFill="1" applyBorder="1" applyAlignment="1" applyProtection="1">
      <alignment horizontal="center"/>
      <protection locked="0"/>
    </xf>
    <xf numFmtId="0" fontId="12" fillId="3" borderId="2" xfId="0" applyFont="1" applyFill="1" applyBorder="1" applyAlignment="1" applyProtection="1">
      <alignment horizontal="distributed" vertical="center" wrapText="1"/>
    </xf>
    <xf numFmtId="0" fontId="9" fillId="2" borderId="0" xfId="0" applyNumberFormat="1" applyFont="1" applyFill="1" applyAlignment="1" applyProtection="1">
      <alignment horizontal="left" vertical="center" wrapText="1"/>
    </xf>
    <xf numFmtId="0" fontId="9" fillId="2" borderId="0" xfId="0" applyFont="1" applyFill="1" applyAlignment="1" applyProtection="1">
      <alignment horizontal="left" vertical="center" wrapText="1"/>
    </xf>
    <xf numFmtId="0" fontId="8" fillId="2" borderId="0" xfId="0" applyFont="1" applyFill="1" applyAlignment="1" applyProtection="1">
      <alignment horizontal="center" vertical="center" wrapText="1"/>
    </xf>
    <xf numFmtId="0" fontId="10" fillId="2" borderId="0" xfId="0" applyFont="1" applyFill="1" applyAlignment="1" applyProtection="1">
      <alignment horizontal="left" vertical="center" wrapText="1"/>
    </xf>
    <xf numFmtId="0" fontId="18" fillId="3" borderId="2" xfId="0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Alignment="1" applyProtection="1">
      <alignment horizontal="left" vertical="center" wrapText="1"/>
    </xf>
    <xf numFmtId="0" fontId="9" fillId="2" borderId="0" xfId="0" applyFont="1" applyFill="1" applyBorder="1" applyAlignment="1" applyProtection="1">
      <alignment horizontal="left" vertical="center" wrapText="1"/>
      <protection locked="0"/>
    </xf>
    <xf numFmtId="0" fontId="20" fillId="3" borderId="2" xfId="0" applyFont="1" applyFill="1" applyBorder="1" applyAlignment="1" applyProtection="1">
      <alignment horizontal="left" vertical="center" wrapText="1"/>
    </xf>
    <xf numFmtId="0" fontId="21" fillId="3" borderId="2" xfId="0" applyFont="1" applyFill="1" applyBorder="1" applyAlignment="1" applyProtection="1">
      <alignment horizontal="left" vertical="center" wrapText="1"/>
    </xf>
    <xf numFmtId="0" fontId="22" fillId="3" borderId="2" xfId="0" applyFont="1" applyFill="1" applyBorder="1" applyAlignment="1" applyProtection="1">
      <alignment horizontal="left" vertical="center" wrapText="1"/>
    </xf>
    <xf numFmtId="0" fontId="9" fillId="2" borderId="0" xfId="0" applyFont="1" applyFill="1" applyBorder="1" applyAlignment="1" applyProtection="1">
      <alignment horizontal="center" vertical="center" wrapText="1"/>
    </xf>
    <xf numFmtId="0" fontId="10" fillId="2" borderId="0" xfId="0" applyFont="1" applyFill="1" applyBorder="1" applyAlignment="1" applyProtection="1">
      <alignment horizontal="left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8.emf"/><Relationship Id="rId7" Type="http://schemas.openxmlformats.org/officeDocument/2006/relationships/image" Target="../media/image5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6.emf"/><Relationship Id="rId5" Type="http://schemas.openxmlformats.org/officeDocument/2006/relationships/image" Target="../media/image16.emf"/><Relationship Id="rId10" Type="http://schemas.openxmlformats.org/officeDocument/2006/relationships/image" Target="../media/image13.emf"/><Relationship Id="rId4" Type="http://schemas.openxmlformats.org/officeDocument/2006/relationships/image" Target="../media/image17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image" Target="../media/image26.emf"/><Relationship Id="rId7" Type="http://schemas.openxmlformats.org/officeDocument/2006/relationships/image" Target="../media/image5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6.emf"/><Relationship Id="rId5" Type="http://schemas.openxmlformats.org/officeDocument/2006/relationships/image" Target="../media/image24.emf"/><Relationship Id="rId10" Type="http://schemas.openxmlformats.org/officeDocument/2006/relationships/image" Target="../media/image21.emf"/><Relationship Id="rId4" Type="http://schemas.openxmlformats.org/officeDocument/2006/relationships/image" Target="../media/image25.emf"/><Relationship Id="rId9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3" Type="http://schemas.openxmlformats.org/officeDocument/2006/relationships/image" Target="../media/image34.emf"/><Relationship Id="rId7" Type="http://schemas.openxmlformats.org/officeDocument/2006/relationships/image" Target="../media/image5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6" Type="http://schemas.openxmlformats.org/officeDocument/2006/relationships/image" Target="../media/image6.emf"/><Relationship Id="rId5" Type="http://schemas.openxmlformats.org/officeDocument/2006/relationships/image" Target="../media/image32.emf"/><Relationship Id="rId10" Type="http://schemas.openxmlformats.org/officeDocument/2006/relationships/image" Target="../media/image29.emf"/><Relationship Id="rId4" Type="http://schemas.openxmlformats.org/officeDocument/2006/relationships/image" Target="../media/image33.emf"/><Relationship Id="rId9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38735</xdr:colOff>
      <xdr:row>0</xdr:row>
      <xdr:rowOff>636</xdr:rowOff>
    </xdr:from>
    <xdr:to>
      <xdr:col>1</xdr:col>
      <xdr:colOff>209004</xdr:colOff>
      <xdr:row>1</xdr:row>
      <xdr:rowOff>161926</xdr:rowOff>
    </xdr:to>
    <xdr:pic>
      <xdr:nvPicPr>
        <xdr:cNvPr id="2" name="图片 1" descr="C:\Users\Dapon\Desktop\logo.pnglogo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38735" y="635"/>
          <a:ext cx="522605" cy="523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1533525</xdr:colOff>
          <xdr:row>16</xdr:row>
          <xdr:rowOff>38100</xdr:rowOff>
        </xdr:from>
        <xdr:to>
          <xdr:col>12</xdr:col>
          <xdr:colOff>9525</xdr:colOff>
          <xdr:row>18</xdr:row>
          <xdr:rowOff>28575</xdr:rowOff>
        </xdr:to>
        <xdr:sp macro="" textlink="">
          <xdr:nvSpPr>
            <xdr:cNvPr id="1028" name="Print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16</xdr:row>
          <xdr:rowOff>38100</xdr:rowOff>
        </xdr:from>
        <xdr:to>
          <xdr:col>10</xdr:col>
          <xdr:colOff>1257300</xdr:colOff>
          <xdr:row>18</xdr:row>
          <xdr:rowOff>28575</xdr:rowOff>
        </xdr:to>
        <xdr:sp macro="" textlink="">
          <xdr:nvSpPr>
            <xdr:cNvPr id="1033" name="PrintPDF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114300</xdr:rowOff>
        </xdr:from>
        <xdr:to>
          <xdr:col>10</xdr:col>
          <xdr:colOff>161925</xdr:colOff>
          <xdr:row>21</xdr:row>
          <xdr:rowOff>9525</xdr:rowOff>
        </xdr:to>
        <xdr:sp macro="" textlink="">
          <xdr:nvSpPr>
            <xdr:cNvPr id="1034" name="ClearButt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16</xdr:row>
          <xdr:rowOff>28575</xdr:rowOff>
        </xdr:from>
        <xdr:to>
          <xdr:col>12</xdr:col>
          <xdr:colOff>1114425</xdr:colOff>
          <xdr:row>18</xdr:row>
          <xdr:rowOff>19050</xdr:rowOff>
        </xdr:to>
        <xdr:sp macro="" textlink="">
          <xdr:nvSpPr>
            <xdr:cNvPr id="1035" name="SaveAsXLS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16</xdr:row>
          <xdr:rowOff>38100</xdr:rowOff>
        </xdr:from>
        <xdr:to>
          <xdr:col>10</xdr:col>
          <xdr:colOff>161925</xdr:colOff>
          <xdr:row>18</xdr:row>
          <xdr:rowOff>28575</xdr:rowOff>
        </xdr:to>
        <xdr:sp macro="" textlink="">
          <xdr:nvSpPr>
            <xdr:cNvPr id="1036" name="OpenPath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7</xdr:row>
          <xdr:rowOff>0</xdr:rowOff>
        </xdr:from>
        <xdr:to>
          <xdr:col>17</xdr:col>
          <xdr:colOff>426180</xdr:colOff>
          <xdr:row>8</xdr:row>
          <xdr:rowOff>100013</xdr:rowOff>
        </xdr:to>
        <xdr:sp macro="" textlink="">
          <xdr:nvSpPr>
            <xdr:cNvPr id="1038" name="TextBox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100013</xdr:rowOff>
        </xdr:from>
        <xdr:to>
          <xdr:col>17</xdr:col>
          <xdr:colOff>426180</xdr:colOff>
          <xdr:row>13</xdr:row>
          <xdr:rowOff>100013</xdr:rowOff>
        </xdr:to>
        <xdr:sp macro="" textlink="">
          <xdr:nvSpPr>
            <xdr:cNvPr id="1040" name="ListBox1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18</xdr:row>
          <xdr:rowOff>114300</xdr:rowOff>
        </xdr:from>
        <xdr:to>
          <xdr:col>10</xdr:col>
          <xdr:colOff>1266825</xdr:colOff>
          <xdr:row>21</xdr:row>
          <xdr:rowOff>9525</xdr:rowOff>
        </xdr:to>
        <xdr:sp macro="" textlink="">
          <xdr:nvSpPr>
            <xdr:cNvPr id="1043" name="HideSheet2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0</xdr:row>
          <xdr:rowOff>9525</xdr:rowOff>
        </xdr:from>
        <xdr:to>
          <xdr:col>13</xdr:col>
          <xdr:colOff>285750</xdr:colOff>
          <xdr:row>0</xdr:row>
          <xdr:rowOff>161925</xdr:rowOff>
        </xdr:to>
        <xdr:sp macro="" textlink="">
          <xdr:nvSpPr>
            <xdr:cNvPr id="1045" name="SaveMe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1552575</xdr:colOff>
          <xdr:row>18</xdr:row>
          <xdr:rowOff>114300</xdr:rowOff>
        </xdr:from>
        <xdr:to>
          <xdr:col>12</xdr:col>
          <xdr:colOff>28575</xdr:colOff>
          <xdr:row>21</xdr:row>
          <xdr:rowOff>9525</xdr:rowOff>
        </xdr:to>
        <xdr:sp macro="" textlink="">
          <xdr:nvSpPr>
            <xdr:cNvPr id="1048" name="CommandButton1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18</xdr:row>
          <xdr:rowOff>114300</xdr:rowOff>
        </xdr:from>
        <xdr:to>
          <xdr:col>12</xdr:col>
          <xdr:colOff>1114425</xdr:colOff>
          <xdr:row>21</xdr:row>
          <xdr:rowOff>9525</xdr:rowOff>
        </xdr:to>
        <xdr:sp macro="" textlink="">
          <xdr:nvSpPr>
            <xdr:cNvPr id="1051" name="GetPrice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38735</xdr:colOff>
      <xdr:row>0</xdr:row>
      <xdr:rowOff>636</xdr:rowOff>
    </xdr:from>
    <xdr:to>
      <xdr:col>1</xdr:col>
      <xdr:colOff>209004</xdr:colOff>
      <xdr:row>1</xdr:row>
      <xdr:rowOff>161926</xdr:rowOff>
    </xdr:to>
    <xdr:pic>
      <xdr:nvPicPr>
        <xdr:cNvPr id="2" name="图片 1" descr="C:\Users\Dapon\Desktop\logo.pnglogo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38735" y="635"/>
          <a:ext cx="522605" cy="523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1533525</xdr:colOff>
          <xdr:row>16</xdr:row>
          <xdr:rowOff>38100</xdr:rowOff>
        </xdr:from>
        <xdr:to>
          <xdr:col>12</xdr:col>
          <xdr:colOff>9525</xdr:colOff>
          <xdr:row>18</xdr:row>
          <xdr:rowOff>28575</xdr:rowOff>
        </xdr:to>
        <xdr:sp macro="" textlink="">
          <xdr:nvSpPr>
            <xdr:cNvPr id="4097" name="PrintButton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16</xdr:row>
          <xdr:rowOff>38100</xdr:rowOff>
        </xdr:from>
        <xdr:to>
          <xdr:col>10</xdr:col>
          <xdr:colOff>1257300</xdr:colOff>
          <xdr:row>18</xdr:row>
          <xdr:rowOff>28575</xdr:rowOff>
        </xdr:to>
        <xdr:sp macro="" textlink="">
          <xdr:nvSpPr>
            <xdr:cNvPr id="4098" name="PrintPDF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114300</xdr:rowOff>
        </xdr:from>
        <xdr:to>
          <xdr:col>10</xdr:col>
          <xdr:colOff>161925</xdr:colOff>
          <xdr:row>21</xdr:row>
          <xdr:rowOff>9525</xdr:rowOff>
        </xdr:to>
        <xdr:sp macro="" textlink="">
          <xdr:nvSpPr>
            <xdr:cNvPr id="4099" name="ClearButton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16</xdr:row>
          <xdr:rowOff>28575</xdr:rowOff>
        </xdr:from>
        <xdr:to>
          <xdr:col>12</xdr:col>
          <xdr:colOff>1114425</xdr:colOff>
          <xdr:row>18</xdr:row>
          <xdr:rowOff>19050</xdr:rowOff>
        </xdr:to>
        <xdr:sp macro="" textlink="">
          <xdr:nvSpPr>
            <xdr:cNvPr id="4100" name="SaveAsXLSX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16</xdr:row>
          <xdr:rowOff>38100</xdr:rowOff>
        </xdr:from>
        <xdr:to>
          <xdr:col>10</xdr:col>
          <xdr:colOff>161925</xdr:colOff>
          <xdr:row>18</xdr:row>
          <xdr:rowOff>28575</xdr:rowOff>
        </xdr:to>
        <xdr:sp macro="" textlink="">
          <xdr:nvSpPr>
            <xdr:cNvPr id="4101" name="OpenPath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7</xdr:row>
          <xdr:rowOff>0</xdr:rowOff>
        </xdr:from>
        <xdr:to>
          <xdr:col>17</xdr:col>
          <xdr:colOff>426180</xdr:colOff>
          <xdr:row>8</xdr:row>
          <xdr:rowOff>100013</xdr:rowOff>
        </xdr:to>
        <xdr:sp macro="" textlink="">
          <xdr:nvSpPr>
            <xdr:cNvPr id="4102" name="TextBox1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100013</xdr:rowOff>
        </xdr:from>
        <xdr:to>
          <xdr:col>17</xdr:col>
          <xdr:colOff>426180</xdr:colOff>
          <xdr:row>13</xdr:row>
          <xdr:rowOff>100013</xdr:rowOff>
        </xdr:to>
        <xdr:sp macro="" textlink="">
          <xdr:nvSpPr>
            <xdr:cNvPr id="4103" name="ListBox1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18</xdr:row>
          <xdr:rowOff>114300</xdr:rowOff>
        </xdr:from>
        <xdr:to>
          <xdr:col>10</xdr:col>
          <xdr:colOff>1266825</xdr:colOff>
          <xdr:row>21</xdr:row>
          <xdr:rowOff>9525</xdr:rowOff>
        </xdr:to>
        <xdr:sp macro="" textlink="">
          <xdr:nvSpPr>
            <xdr:cNvPr id="4104" name="HideSheet2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0</xdr:row>
          <xdr:rowOff>9525</xdr:rowOff>
        </xdr:from>
        <xdr:to>
          <xdr:col>13</xdr:col>
          <xdr:colOff>285750</xdr:colOff>
          <xdr:row>0</xdr:row>
          <xdr:rowOff>161925</xdr:rowOff>
        </xdr:to>
        <xdr:sp macro="" textlink="">
          <xdr:nvSpPr>
            <xdr:cNvPr id="4105" name="SaveMe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1552575</xdr:colOff>
          <xdr:row>18</xdr:row>
          <xdr:rowOff>114300</xdr:rowOff>
        </xdr:from>
        <xdr:to>
          <xdr:col>12</xdr:col>
          <xdr:colOff>28575</xdr:colOff>
          <xdr:row>21</xdr:row>
          <xdr:rowOff>9525</xdr:rowOff>
        </xdr:to>
        <xdr:sp macro="" textlink="">
          <xdr:nvSpPr>
            <xdr:cNvPr id="4106" name="CommandButton1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38735</xdr:colOff>
      <xdr:row>0</xdr:row>
      <xdr:rowOff>636</xdr:rowOff>
    </xdr:from>
    <xdr:to>
      <xdr:col>1</xdr:col>
      <xdr:colOff>209004</xdr:colOff>
      <xdr:row>1</xdr:row>
      <xdr:rowOff>161926</xdr:rowOff>
    </xdr:to>
    <xdr:pic>
      <xdr:nvPicPr>
        <xdr:cNvPr id="2" name="图片 1" descr="C:\Users\Dapon\Desktop\logo.pnglogo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38735" y="635"/>
          <a:ext cx="522605" cy="523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1533525</xdr:colOff>
          <xdr:row>16</xdr:row>
          <xdr:rowOff>38100</xdr:rowOff>
        </xdr:from>
        <xdr:to>
          <xdr:col>12</xdr:col>
          <xdr:colOff>9525</xdr:colOff>
          <xdr:row>18</xdr:row>
          <xdr:rowOff>28575</xdr:rowOff>
        </xdr:to>
        <xdr:sp macro="" textlink="">
          <xdr:nvSpPr>
            <xdr:cNvPr id="3073" name="PrintButto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16</xdr:row>
          <xdr:rowOff>38100</xdr:rowOff>
        </xdr:from>
        <xdr:to>
          <xdr:col>10</xdr:col>
          <xdr:colOff>1257300</xdr:colOff>
          <xdr:row>18</xdr:row>
          <xdr:rowOff>28575</xdr:rowOff>
        </xdr:to>
        <xdr:sp macro="" textlink="">
          <xdr:nvSpPr>
            <xdr:cNvPr id="3074" name="PrintPDF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114300</xdr:rowOff>
        </xdr:from>
        <xdr:to>
          <xdr:col>10</xdr:col>
          <xdr:colOff>161925</xdr:colOff>
          <xdr:row>21</xdr:row>
          <xdr:rowOff>9525</xdr:rowOff>
        </xdr:to>
        <xdr:sp macro="" textlink="">
          <xdr:nvSpPr>
            <xdr:cNvPr id="3075" name="ClearButton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16</xdr:row>
          <xdr:rowOff>28575</xdr:rowOff>
        </xdr:from>
        <xdr:to>
          <xdr:col>12</xdr:col>
          <xdr:colOff>1114425</xdr:colOff>
          <xdr:row>18</xdr:row>
          <xdr:rowOff>19050</xdr:rowOff>
        </xdr:to>
        <xdr:sp macro="" textlink="">
          <xdr:nvSpPr>
            <xdr:cNvPr id="3076" name="SaveAsXLSX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16</xdr:row>
          <xdr:rowOff>38100</xdr:rowOff>
        </xdr:from>
        <xdr:to>
          <xdr:col>10</xdr:col>
          <xdr:colOff>161925</xdr:colOff>
          <xdr:row>18</xdr:row>
          <xdr:rowOff>28575</xdr:rowOff>
        </xdr:to>
        <xdr:sp macro="" textlink="">
          <xdr:nvSpPr>
            <xdr:cNvPr id="3077" name="OpenPath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0</xdr:rowOff>
        </xdr:from>
        <xdr:to>
          <xdr:col>17</xdr:col>
          <xdr:colOff>426180</xdr:colOff>
          <xdr:row>9</xdr:row>
          <xdr:rowOff>100013</xdr:rowOff>
        </xdr:to>
        <xdr:sp macro="" textlink="">
          <xdr:nvSpPr>
            <xdr:cNvPr id="3078" name="TextBox1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9</xdr:row>
          <xdr:rowOff>100013</xdr:rowOff>
        </xdr:from>
        <xdr:to>
          <xdr:col>17</xdr:col>
          <xdr:colOff>426180</xdr:colOff>
          <xdr:row>14</xdr:row>
          <xdr:rowOff>100013</xdr:rowOff>
        </xdr:to>
        <xdr:sp macro="" textlink="">
          <xdr:nvSpPr>
            <xdr:cNvPr id="3079" name="ListBox1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18</xdr:row>
          <xdr:rowOff>114300</xdr:rowOff>
        </xdr:from>
        <xdr:to>
          <xdr:col>10</xdr:col>
          <xdr:colOff>1266825</xdr:colOff>
          <xdr:row>21</xdr:row>
          <xdr:rowOff>9525</xdr:rowOff>
        </xdr:to>
        <xdr:sp macro="" textlink="">
          <xdr:nvSpPr>
            <xdr:cNvPr id="3080" name="HideSheet2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0</xdr:row>
          <xdr:rowOff>9525</xdr:rowOff>
        </xdr:from>
        <xdr:to>
          <xdr:col>13</xdr:col>
          <xdr:colOff>285750</xdr:colOff>
          <xdr:row>0</xdr:row>
          <xdr:rowOff>161925</xdr:rowOff>
        </xdr:to>
        <xdr:sp macro="" textlink="">
          <xdr:nvSpPr>
            <xdr:cNvPr id="3081" name="SaveMe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1552575</xdr:colOff>
          <xdr:row>18</xdr:row>
          <xdr:rowOff>114300</xdr:rowOff>
        </xdr:from>
        <xdr:to>
          <xdr:col>12</xdr:col>
          <xdr:colOff>28575</xdr:colOff>
          <xdr:row>21</xdr:row>
          <xdr:rowOff>9525</xdr:rowOff>
        </xdr:to>
        <xdr:sp macro="" textlink="">
          <xdr:nvSpPr>
            <xdr:cNvPr id="3082" name="CommandButton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38735</xdr:colOff>
      <xdr:row>0</xdr:row>
      <xdr:rowOff>636</xdr:rowOff>
    </xdr:from>
    <xdr:to>
      <xdr:col>1</xdr:col>
      <xdr:colOff>209004</xdr:colOff>
      <xdr:row>1</xdr:row>
      <xdr:rowOff>161926</xdr:rowOff>
    </xdr:to>
    <xdr:pic>
      <xdr:nvPicPr>
        <xdr:cNvPr id="2" name="图片 1" descr="C:\Users\Dapon\Desktop\logo.pnglogo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38735" y="635"/>
          <a:ext cx="522605" cy="523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1533525</xdr:colOff>
          <xdr:row>16</xdr:row>
          <xdr:rowOff>38100</xdr:rowOff>
        </xdr:from>
        <xdr:to>
          <xdr:col>12</xdr:col>
          <xdr:colOff>9525</xdr:colOff>
          <xdr:row>18</xdr:row>
          <xdr:rowOff>28575</xdr:rowOff>
        </xdr:to>
        <xdr:sp macro="" textlink="">
          <xdr:nvSpPr>
            <xdr:cNvPr id="5121" name="PrintButton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16</xdr:row>
          <xdr:rowOff>38100</xdr:rowOff>
        </xdr:from>
        <xdr:to>
          <xdr:col>10</xdr:col>
          <xdr:colOff>1257300</xdr:colOff>
          <xdr:row>18</xdr:row>
          <xdr:rowOff>28575</xdr:rowOff>
        </xdr:to>
        <xdr:sp macro="" textlink="">
          <xdr:nvSpPr>
            <xdr:cNvPr id="5122" name="PrintPDF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114300</xdr:rowOff>
        </xdr:from>
        <xdr:to>
          <xdr:col>10</xdr:col>
          <xdr:colOff>161925</xdr:colOff>
          <xdr:row>21</xdr:row>
          <xdr:rowOff>9525</xdr:rowOff>
        </xdr:to>
        <xdr:sp macro="" textlink="">
          <xdr:nvSpPr>
            <xdr:cNvPr id="5123" name="ClearButton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16</xdr:row>
          <xdr:rowOff>28575</xdr:rowOff>
        </xdr:from>
        <xdr:to>
          <xdr:col>12</xdr:col>
          <xdr:colOff>1114425</xdr:colOff>
          <xdr:row>18</xdr:row>
          <xdr:rowOff>19050</xdr:rowOff>
        </xdr:to>
        <xdr:sp macro="" textlink="">
          <xdr:nvSpPr>
            <xdr:cNvPr id="5124" name="SaveAsXLSX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16</xdr:row>
          <xdr:rowOff>38100</xdr:rowOff>
        </xdr:from>
        <xdr:to>
          <xdr:col>10</xdr:col>
          <xdr:colOff>161925</xdr:colOff>
          <xdr:row>18</xdr:row>
          <xdr:rowOff>28575</xdr:rowOff>
        </xdr:to>
        <xdr:sp macro="" textlink="">
          <xdr:nvSpPr>
            <xdr:cNvPr id="5125" name="OpenPath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7</xdr:row>
          <xdr:rowOff>0</xdr:rowOff>
        </xdr:from>
        <xdr:to>
          <xdr:col>17</xdr:col>
          <xdr:colOff>426180</xdr:colOff>
          <xdr:row>8</xdr:row>
          <xdr:rowOff>100013</xdr:rowOff>
        </xdr:to>
        <xdr:sp macro="" textlink="">
          <xdr:nvSpPr>
            <xdr:cNvPr id="5126" name="TextBox1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100013</xdr:rowOff>
        </xdr:from>
        <xdr:to>
          <xdr:col>17</xdr:col>
          <xdr:colOff>426180</xdr:colOff>
          <xdr:row>13</xdr:row>
          <xdr:rowOff>100013</xdr:rowOff>
        </xdr:to>
        <xdr:sp macro="" textlink="">
          <xdr:nvSpPr>
            <xdr:cNvPr id="5127" name="ListBox1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18</xdr:row>
          <xdr:rowOff>114300</xdr:rowOff>
        </xdr:from>
        <xdr:to>
          <xdr:col>10</xdr:col>
          <xdr:colOff>1266825</xdr:colOff>
          <xdr:row>21</xdr:row>
          <xdr:rowOff>9525</xdr:rowOff>
        </xdr:to>
        <xdr:sp macro="" textlink="">
          <xdr:nvSpPr>
            <xdr:cNvPr id="5128" name="HideSheet2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0</xdr:row>
          <xdr:rowOff>9525</xdr:rowOff>
        </xdr:from>
        <xdr:to>
          <xdr:col>13</xdr:col>
          <xdr:colOff>285750</xdr:colOff>
          <xdr:row>0</xdr:row>
          <xdr:rowOff>161925</xdr:rowOff>
        </xdr:to>
        <xdr:sp macro="" textlink="">
          <xdr:nvSpPr>
            <xdr:cNvPr id="5129" name="SaveMe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1552575</xdr:colOff>
          <xdr:row>18</xdr:row>
          <xdr:rowOff>114300</xdr:rowOff>
        </xdr:from>
        <xdr:to>
          <xdr:col>12</xdr:col>
          <xdr:colOff>28575</xdr:colOff>
          <xdr:row>21</xdr:row>
          <xdr:rowOff>9525</xdr:rowOff>
        </xdr:to>
        <xdr:sp macro="" textlink="">
          <xdr:nvSpPr>
            <xdr:cNvPr id="5130" name="CommandButton1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ntrol" Target="../activeX/activeX17.xml"/><Relationship Id="rId18" Type="http://schemas.openxmlformats.org/officeDocument/2006/relationships/image" Target="../media/image18.emf"/><Relationship Id="rId3" Type="http://schemas.openxmlformats.org/officeDocument/2006/relationships/control" Target="../activeX/activeX12.xml"/><Relationship Id="rId21" Type="http://schemas.openxmlformats.org/officeDocument/2006/relationships/control" Target="../activeX/activeX21.xml"/><Relationship Id="rId7" Type="http://schemas.openxmlformats.org/officeDocument/2006/relationships/control" Target="../activeX/activeX14.xml"/><Relationship Id="rId12" Type="http://schemas.openxmlformats.org/officeDocument/2006/relationships/image" Target="../media/image6.emf"/><Relationship Id="rId17" Type="http://schemas.openxmlformats.org/officeDocument/2006/relationships/control" Target="../activeX/activeX19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7.emf"/><Relationship Id="rId20" Type="http://schemas.openxmlformats.org/officeDocument/2006/relationships/image" Target="../media/image19.emf"/><Relationship Id="rId1" Type="http://schemas.openxmlformats.org/officeDocument/2006/relationships/drawing" Target="../drawings/drawing2.xml"/><Relationship Id="rId6" Type="http://schemas.openxmlformats.org/officeDocument/2006/relationships/image" Target="../media/image14.emf"/><Relationship Id="rId11" Type="http://schemas.openxmlformats.org/officeDocument/2006/relationships/control" Target="../activeX/activeX16.xml"/><Relationship Id="rId5" Type="http://schemas.openxmlformats.org/officeDocument/2006/relationships/control" Target="../activeX/activeX13.xml"/><Relationship Id="rId15" Type="http://schemas.openxmlformats.org/officeDocument/2006/relationships/control" Target="../activeX/activeX18.xml"/><Relationship Id="rId10" Type="http://schemas.openxmlformats.org/officeDocument/2006/relationships/image" Target="../media/image5.emf"/><Relationship Id="rId19" Type="http://schemas.openxmlformats.org/officeDocument/2006/relationships/control" Target="../activeX/activeX20.xml"/><Relationship Id="rId4" Type="http://schemas.openxmlformats.org/officeDocument/2006/relationships/image" Target="../media/image13.emf"/><Relationship Id="rId9" Type="http://schemas.openxmlformats.org/officeDocument/2006/relationships/control" Target="../activeX/activeX15.xml"/><Relationship Id="rId14" Type="http://schemas.openxmlformats.org/officeDocument/2006/relationships/image" Target="../media/image16.emf"/><Relationship Id="rId22" Type="http://schemas.openxmlformats.org/officeDocument/2006/relationships/image" Target="../media/image2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control" Target="../activeX/activeX27.xml"/><Relationship Id="rId18" Type="http://schemas.openxmlformats.org/officeDocument/2006/relationships/image" Target="../media/image26.emf"/><Relationship Id="rId3" Type="http://schemas.openxmlformats.org/officeDocument/2006/relationships/control" Target="../activeX/activeX22.xml"/><Relationship Id="rId21" Type="http://schemas.openxmlformats.org/officeDocument/2006/relationships/control" Target="../activeX/activeX31.xml"/><Relationship Id="rId7" Type="http://schemas.openxmlformats.org/officeDocument/2006/relationships/control" Target="../activeX/activeX24.xml"/><Relationship Id="rId12" Type="http://schemas.openxmlformats.org/officeDocument/2006/relationships/image" Target="../media/image6.emf"/><Relationship Id="rId17" Type="http://schemas.openxmlformats.org/officeDocument/2006/relationships/control" Target="../activeX/activeX29.xml"/><Relationship Id="rId2" Type="http://schemas.openxmlformats.org/officeDocument/2006/relationships/vmlDrawing" Target="../drawings/vmlDrawing3.vml"/><Relationship Id="rId16" Type="http://schemas.openxmlformats.org/officeDocument/2006/relationships/image" Target="../media/image25.emf"/><Relationship Id="rId20" Type="http://schemas.openxmlformats.org/officeDocument/2006/relationships/image" Target="../media/image27.emf"/><Relationship Id="rId1" Type="http://schemas.openxmlformats.org/officeDocument/2006/relationships/drawing" Target="../drawings/drawing3.xml"/><Relationship Id="rId6" Type="http://schemas.openxmlformats.org/officeDocument/2006/relationships/image" Target="../media/image22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3.xml"/><Relationship Id="rId15" Type="http://schemas.openxmlformats.org/officeDocument/2006/relationships/control" Target="../activeX/activeX28.xml"/><Relationship Id="rId10" Type="http://schemas.openxmlformats.org/officeDocument/2006/relationships/image" Target="../media/image5.emf"/><Relationship Id="rId19" Type="http://schemas.openxmlformats.org/officeDocument/2006/relationships/control" Target="../activeX/activeX30.xml"/><Relationship Id="rId4" Type="http://schemas.openxmlformats.org/officeDocument/2006/relationships/image" Target="../media/image21.emf"/><Relationship Id="rId9" Type="http://schemas.openxmlformats.org/officeDocument/2006/relationships/control" Target="../activeX/activeX25.xml"/><Relationship Id="rId14" Type="http://schemas.openxmlformats.org/officeDocument/2006/relationships/image" Target="../media/image24.emf"/><Relationship Id="rId22" Type="http://schemas.openxmlformats.org/officeDocument/2006/relationships/image" Target="../media/image2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13" Type="http://schemas.openxmlformats.org/officeDocument/2006/relationships/control" Target="../activeX/activeX37.xml"/><Relationship Id="rId18" Type="http://schemas.openxmlformats.org/officeDocument/2006/relationships/image" Target="../media/image34.emf"/><Relationship Id="rId3" Type="http://schemas.openxmlformats.org/officeDocument/2006/relationships/control" Target="../activeX/activeX32.xml"/><Relationship Id="rId21" Type="http://schemas.openxmlformats.org/officeDocument/2006/relationships/control" Target="../activeX/activeX41.xml"/><Relationship Id="rId7" Type="http://schemas.openxmlformats.org/officeDocument/2006/relationships/control" Target="../activeX/activeX34.xml"/><Relationship Id="rId12" Type="http://schemas.openxmlformats.org/officeDocument/2006/relationships/image" Target="../media/image6.emf"/><Relationship Id="rId17" Type="http://schemas.openxmlformats.org/officeDocument/2006/relationships/control" Target="../activeX/activeX39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33.emf"/><Relationship Id="rId20" Type="http://schemas.openxmlformats.org/officeDocument/2006/relationships/image" Target="../media/image35.emf"/><Relationship Id="rId1" Type="http://schemas.openxmlformats.org/officeDocument/2006/relationships/drawing" Target="../drawings/drawing4.xml"/><Relationship Id="rId6" Type="http://schemas.openxmlformats.org/officeDocument/2006/relationships/image" Target="../media/image30.emf"/><Relationship Id="rId11" Type="http://schemas.openxmlformats.org/officeDocument/2006/relationships/control" Target="../activeX/activeX36.xml"/><Relationship Id="rId5" Type="http://schemas.openxmlformats.org/officeDocument/2006/relationships/control" Target="../activeX/activeX33.xml"/><Relationship Id="rId15" Type="http://schemas.openxmlformats.org/officeDocument/2006/relationships/control" Target="../activeX/activeX38.xml"/><Relationship Id="rId10" Type="http://schemas.openxmlformats.org/officeDocument/2006/relationships/image" Target="../media/image5.emf"/><Relationship Id="rId19" Type="http://schemas.openxmlformats.org/officeDocument/2006/relationships/control" Target="../activeX/activeX40.xml"/><Relationship Id="rId4" Type="http://schemas.openxmlformats.org/officeDocument/2006/relationships/image" Target="../media/image29.emf"/><Relationship Id="rId9" Type="http://schemas.openxmlformats.org/officeDocument/2006/relationships/control" Target="../activeX/activeX35.xml"/><Relationship Id="rId14" Type="http://schemas.openxmlformats.org/officeDocument/2006/relationships/image" Target="../media/image32.emf"/><Relationship Id="rId22" Type="http://schemas.openxmlformats.org/officeDocument/2006/relationships/image" Target="../media/image3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8"/>
  <sheetViews>
    <sheetView tabSelected="1" zoomScaleNormal="100" workbookViewId="0">
      <selection activeCell="B7" sqref="B7"/>
    </sheetView>
  </sheetViews>
  <sheetFormatPr defaultColWidth="9" defaultRowHeight="14.25"/>
  <cols>
    <col min="1" max="1" width="5.28515625" style="8" customWidth="1"/>
    <col min="2" max="2" width="28.7109375" style="7" customWidth="1"/>
    <col min="3" max="3" width="12.28515625" style="9" customWidth="1"/>
    <col min="4" max="4" width="7.42578125" style="9" customWidth="1"/>
    <col min="5" max="5" width="10.28515625" style="9" customWidth="1"/>
    <col min="6" max="6" width="10.28515625" style="10" customWidth="1"/>
    <col min="7" max="7" width="11.140625" style="11" customWidth="1"/>
    <col min="8" max="8" width="11.85546875" style="9" customWidth="1"/>
    <col min="9" max="9" width="12.5703125" style="12" customWidth="1"/>
    <col min="10" max="10" width="11.28515625" style="13" customWidth="1"/>
    <col min="11" max="11" width="24.5703125" style="13" customWidth="1"/>
    <col min="12" max="12" width="11.7109375" style="14" customWidth="1"/>
    <col min="13" max="13" width="17.28515625" style="14" customWidth="1"/>
    <col min="14" max="16384" width="9" style="9"/>
  </cols>
  <sheetData>
    <row r="1" spans="1:14" ht="28.5" customHeight="1">
      <c r="A1" s="64" t="str">
        <f>$K$4&amp;" "&amp;M3&amp;"采购单"</f>
        <v>上海渭源餐饮管理公司 调料类采购单</v>
      </c>
      <c r="B1" s="64" t="s">
        <v>0</v>
      </c>
      <c r="C1" s="64" t="s">
        <v>0</v>
      </c>
      <c r="D1" s="64" t="s">
        <v>0</v>
      </c>
      <c r="E1" s="64" t="s">
        <v>0</v>
      </c>
      <c r="F1" s="64" t="s">
        <v>0</v>
      </c>
      <c r="G1" s="64" t="s">
        <v>0</v>
      </c>
      <c r="H1" s="64" t="s">
        <v>0</v>
      </c>
      <c r="I1" s="36"/>
      <c r="J1" s="61" t="s">
        <v>602</v>
      </c>
      <c r="K1" s="61"/>
      <c r="L1" s="61"/>
      <c r="M1" s="61"/>
      <c r="N1" s="37"/>
    </row>
    <row r="2" spans="1:14" ht="14.25" customHeight="1">
      <c r="A2" s="64"/>
      <c r="B2" s="64"/>
      <c r="C2" s="64"/>
      <c r="D2" s="64"/>
      <c r="E2" s="64"/>
      <c r="F2" s="64"/>
      <c r="G2" s="64"/>
      <c r="H2" s="64"/>
      <c r="I2" s="38"/>
      <c r="J2" s="42" t="s">
        <v>1</v>
      </c>
      <c r="K2" s="49"/>
      <c r="L2" s="39" t="s">
        <v>2</v>
      </c>
      <c r="M2" s="40">
        <v>43618</v>
      </c>
    </row>
    <row r="3" spans="1:14" ht="15" customHeight="1">
      <c r="A3" s="62" t="str">
        <f>"编号:FH-"&amp;TEXT($M$2,"yyymmdd")&amp;TEXT(M6,"000000")</f>
        <v>编号:FH-20190602220550</v>
      </c>
      <c r="B3" s="62"/>
      <c r="C3" s="63" t="str">
        <f>"录单日期:"&amp;TEXT($M$2,"yyyy-mm-dd")</f>
        <v>录单日期:2019-06-02</v>
      </c>
      <c r="D3" s="63"/>
      <c r="E3" s="63"/>
      <c r="F3" s="63" t="str">
        <f>$L$7&amp;$M$7</f>
        <v>税号:</v>
      </c>
      <c r="G3" s="63"/>
      <c r="H3" s="63"/>
      <c r="I3" s="36"/>
      <c r="J3" s="42" t="s">
        <v>3</v>
      </c>
      <c r="K3" s="43" t="s">
        <v>4</v>
      </c>
      <c r="L3" s="39" t="s">
        <v>5</v>
      </c>
      <c r="M3" s="41" t="s">
        <v>6</v>
      </c>
    </row>
    <row r="4" spans="1:14" ht="15" customHeight="1">
      <c r="A4" s="63" t="str">
        <f>$J$4&amp;$K$4</f>
        <v>采购商:上海渭源餐饮管理公司</v>
      </c>
      <c r="B4" s="63"/>
      <c r="C4" s="63" t="str">
        <f>$L$4&amp;$M$4</f>
        <v>收货人:</v>
      </c>
      <c r="D4" s="63"/>
      <c r="E4" s="63"/>
      <c r="F4" s="63" t="str">
        <f>$L$5&amp;$M$5</f>
        <v>收货电话:</v>
      </c>
      <c r="G4" s="63"/>
      <c r="H4" s="63"/>
      <c r="I4" s="36"/>
      <c r="J4" s="42" t="s">
        <v>7</v>
      </c>
      <c r="K4" s="43" t="s">
        <v>8</v>
      </c>
      <c r="L4" s="42" t="s">
        <v>9</v>
      </c>
      <c r="M4" s="43"/>
    </row>
    <row r="5" spans="1:14" ht="15" customHeight="1">
      <c r="A5" s="63" t="str">
        <f>$J$7&amp;$K$7</f>
        <v>供应商:上海丰欢农业科技有限公司</v>
      </c>
      <c r="B5" s="63"/>
      <c r="C5" s="63" t="str">
        <f>$J$5&amp;$K$5</f>
        <v>采购商地址:</v>
      </c>
      <c r="D5" s="63"/>
      <c r="E5" s="63"/>
      <c r="F5" s="63" t="s">
        <v>0</v>
      </c>
      <c r="G5" s="63"/>
      <c r="H5" s="63"/>
      <c r="I5" s="36"/>
      <c r="J5" s="42" t="s">
        <v>10</v>
      </c>
      <c r="K5" s="43"/>
      <c r="L5" s="42" t="s">
        <v>11</v>
      </c>
      <c r="M5" s="44"/>
    </row>
    <row r="6" spans="1:14" ht="6" customHeight="1">
      <c r="A6" s="65" t="s">
        <v>0</v>
      </c>
      <c r="B6" s="65" t="s">
        <v>0</v>
      </c>
      <c r="C6" s="65" t="s">
        <v>0</v>
      </c>
      <c r="D6" s="65" t="s">
        <v>0</v>
      </c>
      <c r="E6" s="65" t="s">
        <v>0</v>
      </c>
      <c r="F6" s="65" t="s">
        <v>0</v>
      </c>
      <c r="G6" s="65" t="s">
        <v>0</v>
      </c>
      <c r="H6" s="65" t="s">
        <v>0</v>
      </c>
      <c r="I6" s="36"/>
      <c r="J6" s="42"/>
      <c r="K6" s="45"/>
      <c r="L6" s="39" t="s">
        <v>12</v>
      </c>
      <c r="M6" s="46" t="s">
        <v>606</v>
      </c>
    </row>
    <row r="7" spans="1:14" s="7" customFormat="1" ht="15.95" customHeight="1">
      <c r="A7" s="15" t="s">
        <v>13</v>
      </c>
      <c r="B7" s="16" t="s">
        <v>14</v>
      </c>
      <c r="C7" s="16" t="s">
        <v>15</v>
      </c>
      <c r="D7" s="16" t="s">
        <v>16</v>
      </c>
      <c r="E7" s="16" t="s">
        <v>17</v>
      </c>
      <c r="F7" s="17" t="s">
        <v>18</v>
      </c>
      <c r="G7" s="18" t="s">
        <v>19</v>
      </c>
      <c r="H7" s="16" t="s">
        <v>20</v>
      </c>
      <c r="I7" s="47" t="s">
        <v>21</v>
      </c>
      <c r="J7" s="42" t="s">
        <v>22</v>
      </c>
      <c r="K7" s="42" t="s">
        <v>23</v>
      </c>
      <c r="L7" s="42" t="s">
        <v>24</v>
      </c>
      <c r="M7" s="44"/>
    </row>
    <row r="8" spans="1:14" ht="15.95" customHeight="1">
      <c r="A8" s="19">
        <v>1</v>
      </c>
      <c r="B8" s="20"/>
      <c r="C8" s="21"/>
      <c r="D8" s="21"/>
      <c r="E8" s="22"/>
      <c r="F8" s="23"/>
      <c r="G8" s="24">
        <f t="shared" ref="G8:G19" si="0">E8*F8</f>
        <v>0</v>
      </c>
      <c r="H8" s="57"/>
      <c r="I8" s="36">
        <v>1</v>
      </c>
      <c r="J8" s="61" t="str">
        <f>"&lt;   当前打印页数:"&amp;IF(COUNTA(调料类!$B$27:$B$32)&gt;0,"共 2 页   &gt;","共 1 页   &gt;")</f>
        <v>&lt;   当前打印页数:共 1 页   &gt;</v>
      </c>
      <c r="K8" s="61"/>
      <c r="L8" s="61"/>
      <c r="M8" s="61"/>
    </row>
    <row r="9" spans="1:14" ht="15.95" customHeight="1">
      <c r="A9" s="19">
        <v>2</v>
      </c>
      <c r="B9" s="20"/>
      <c r="C9" s="21"/>
      <c r="D9" s="21"/>
      <c r="E9" s="22"/>
      <c r="F9" s="23"/>
      <c r="G9" s="24">
        <f t="shared" si="0"/>
        <v>0</v>
      </c>
      <c r="H9" s="57"/>
      <c r="I9" s="36">
        <v>2</v>
      </c>
      <c r="J9" s="61"/>
      <c r="K9" s="61"/>
      <c r="L9" s="61"/>
      <c r="M9" s="61"/>
    </row>
    <row r="10" spans="1:14" ht="15.95" customHeight="1">
      <c r="A10" s="19">
        <v>3</v>
      </c>
      <c r="B10" s="20"/>
      <c r="C10" s="21"/>
      <c r="D10" s="21"/>
      <c r="E10" s="22"/>
      <c r="F10" s="23"/>
      <c r="G10" s="24">
        <f t="shared" si="0"/>
        <v>0</v>
      </c>
      <c r="H10" s="21"/>
      <c r="I10" s="36">
        <v>3</v>
      </c>
      <c r="J10" s="61" t="str">
        <f>"&lt;   第一页有数据: "&amp;COUNTA(调料类!$B$8:$B$19)&amp;"/12 行   &gt;"</f>
        <v>&lt;   第一页有数据: 0/12 行   &gt;</v>
      </c>
      <c r="K10" s="61"/>
      <c r="L10" s="61"/>
      <c r="M10" s="61"/>
    </row>
    <row r="11" spans="1:14" ht="15.95" customHeight="1">
      <c r="A11" s="19">
        <v>4</v>
      </c>
      <c r="B11" s="20"/>
      <c r="C11" s="21"/>
      <c r="D11" s="21"/>
      <c r="E11" s="22"/>
      <c r="F11" s="23"/>
      <c r="G11" s="24">
        <f t="shared" si="0"/>
        <v>0</v>
      </c>
      <c r="H11" s="21"/>
      <c r="I11" s="36">
        <v>4</v>
      </c>
      <c r="J11" s="61"/>
      <c r="K11" s="61"/>
      <c r="L11" s="61"/>
      <c r="M11" s="61"/>
    </row>
    <row r="12" spans="1:14" ht="15.95" customHeight="1">
      <c r="A12" s="19">
        <v>5</v>
      </c>
      <c r="B12" s="20"/>
      <c r="C12" s="21"/>
      <c r="D12" s="21"/>
      <c r="E12" s="22"/>
      <c r="F12" s="23"/>
      <c r="G12" s="24">
        <f t="shared" si="0"/>
        <v>0</v>
      </c>
      <c r="H12" s="57"/>
      <c r="I12" s="36">
        <v>5</v>
      </c>
      <c r="J12" s="61" t="str">
        <f>"&lt;   第二页有数据: "&amp;COUNTA(调料类!$B$27:$B$38)&amp;"/12 行   &gt;"</f>
        <v>&lt;   第二页有数据: 0/12 行   &gt;</v>
      </c>
      <c r="K12" s="61"/>
      <c r="L12" s="61"/>
      <c r="M12" s="61"/>
    </row>
    <row r="13" spans="1:14" ht="15.95" customHeight="1">
      <c r="A13" s="19">
        <v>6</v>
      </c>
      <c r="B13" s="20"/>
      <c r="C13" s="21"/>
      <c r="D13" s="21"/>
      <c r="E13" s="22"/>
      <c r="F13" s="23"/>
      <c r="G13" s="24">
        <f t="shared" si="0"/>
        <v>0</v>
      </c>
      <c r="H13" s="57"/>
      <c r="I13" s="36">
        <v>6</v>
      </c>
      <c r="J13" s="61"/>
      <c r="K13" s="61"/>
      <c r="L13" s="61"/>
      <c r="M13" s="61"/>
    </row>
    <row r="14" spans="1:14" ht="15.95" customHeight="1">
      <c r="A14" s="19">
        <v>7</v>
      </c>
      <c r="B14" s="20"/>
      <c r="C14" s="21"/>
      <c r="D14" s="21"/>
      <c r="E14" s="22"/>
      <c r="F14" s="23"/>
      <c r="G14" s="24">
        <f t="shared" si="0"/>
        <v>0</v>
      </c>
      <c r="H14" s="57"/>
      <c r="I14" s="36">
        <v>7</v>
      </c>
      <c r="J14" s="61" t="str">
        <f>"&lt;  "&amp;F22&amp;"  &gt;"</f>
        <v>&lt;  实收总额:      元  &gt;</v>
      </c>
      <c r="K14" s="61"/>
      <c r="L14" s="61"/>
      <c r="M14" s="61"/>
    </row>
    <row r="15" spans="1:14" ht="15.95" customHeight="1">
      <c r="A15" s="19">
        <v>8</v>
      </c>
      <c r="B15" s="16"/>
      <c r="C15" s="21"/>
      <c r="D15" s="21"/>
      <c r="E15" s="22"/>
      <c r="F15" s="23"/>
      <c r="G15" s="24">
        <f t="shared" si="0"/>
        <v>0</v>
      </c>
      <c r="H15" s="21"/>
      <c r="I15" s="36">
        <v>8</v>
      </c>
      <c r="J15" s="61"/>
      <c r="K15" s="61"/>
      <c r="L15" s="61"/>
      <c r="M15" s="61"/>
    </row>
    <row r="16" spans="1:14" ht="15.95" customHeight="1">
      <c r="A16" s="19">
        <v>9</v>
      </c>
      <c r="B16" s="16"/>
      <c r="C16" s="21"/>
      <c r="D16" s="21"/>
      <c r="E16" s="22"/>
      <c r="F16" s="23"/>
      <c r="G16" s="24">
        <f t="shared" si="0"/>
        <v>0</v>
      </c>
      <c r="H16" s="21"/>
      <c r="I16" s="36">
        <v>9</v>
      </c>
      <c r="J16" s="66" t="str">
        <f>TEXT($M$2,"yyyymmdd")&amp;"-"&amp;$M$6</f>
        <v>20190602-220550</v>
      </c>
      <c r="K16" s="66"/>
      <c r="L16" s="48" t="s">
        <v>25</v>
      </c>
      <c r="M16" s="60" t="str">
        <f>IF(COUNTA(调料类!$B$27:$B$32)&gt;0,"2","1")</f>
        <v>1</v>
      </c>
    </row>
    <row r="17" spans="1:13" ht="15.95" customHeight="1">
      <c r="A17" s="19">
        <v>10</v>
      </c>
      <c r="B17" s="16"/>
      <c r="C17" s="21"/>
      <c r="D17" s="21"/>
      <c r="E17" s="22"/>
      <c r="F17" s="23"/>
      <c r="G17" s="24">
        <f t="shared" si="0"/>
        <v>0</v>
      </c>
      <c r="H17" s="21"/>
      <c r="I17" s="36">
        <v>10</v>
      </c>
      <c r="J17" s="49"/>
      <c r="K17" s="49"/>
      <c r="L17" s="50"/>
      <c r="M17" s="50"/>
    </row>
    <row r="18" spans="1:13" ht="15.95" customHeight="1">
      <c r="A18" s="19">
        <v>11</v>
      </c>
      <c r="B18" s="16"/>
      <c r="C18" s="21"/>
      <c r="D18" s="21"/>
      <c r="E18" s="22"/>
      <c r="F18" s="23"/>
      <c r="G18" s="24">
        <f t="shared" si="0"/>
        <v>0</v>
      </c>
      <c r="H18" s="21"/>
      <c r="I18" s="36">
        <v>11</v>
      </c>
      <c r="J18" s="49"/>
      <c r="K18" s="51" t="s">
        <v>26</v>
      </c>
      <c r="L18" s="50"/>
      <c r="M18" s="50"/>
    </row>
    <row r="19" spans="1:13" ht="15.95" customHeight="1">
      <c r="A19" s="19">
        <v>12</v>
      </c>
      <c r="B19" s="16"/>
      <c r="C19" s="21"/>
      <c r="D19" s="21"/>
      <c r="E19" s="22"/>
      <c r="F19" s="23"/>
      <c r="G19" s="24">
        <f t="shared" si="0"/>
        <v>0</v>
      </c>
      <c r="H19" s="21"/>
      <c r="I19" s="36">
        <v>12</v>
      </c>
      <c r="J19" s="49"/>
      <c r="K19" s="49"/>
      <c r="L19" s="50"/>
      <c r="M19" s="50"/>
    </row>
    <row r="20" spans="1:13" ht="15.95" customHeight="1">
      <c r="A20" s="19"/>
      <c r="B20" s="25" t="s">
        <v>27</v>
      </c>
      <c r="C20" s="26"/>
      <c r="D20" s="26"/>
      <c r="E20" s="27">
        <f>SUM($E$8:$E$19)</f>
        <v>0</v>
      </c>
      <c r="F20" s="28"/>
      <c r="G20" s="24">
        <f>SUM(G8:G19)</f>
        <v>0</v>
      </c>
      <c r="H20" s="26" t="s">
        <v>0</v>
      </c>
      <c r="I20" s="36"/>
      <c r="J20" s="49"/>
      <c r="K20" s="49"/>
      <c r="L20" s="50"/>
      <c r="M20" s="50"/>
    </row>
    <row r="21" spans="1:13" ht="8.1" customHeight="1">
      <c r="A21" s="73" t="s">
        <v>0</v>
      </c>
      <c r="B21" s="73"/>
      <c r="C21" s="73" t="s">
        <v>0</v>
      </c>
      <c r="D21" s="73" t="s">
        <v>0</v>
      </c>
      <c r="E21" s="73" t="s">
        <v>0</v>
      </c>
      <c r="F21" s="73" t="s">
        <v>0</v>
      </c>
      <c r="G21" s="73" t="s">
        <v>0</v>
      </c>
      <c r="H21" s="73" t="s">
        <v>0</v>
      </c>
      <c r="I21" s="36"/>
      <c r="J21" s="49"/>
      <c r="K21" s="49"/>
      <c r="L21" s="50"/>
      <c r="M21" s="50"/>
    </row>
    <row r="22" spans="1:13" ht="18" customHeight="1">
      <c r="A22" s="67" t="str">
        <f>$J$3&amp;$K$3</f>
        <v>制单人:齐凤云(13817497731)</v>
      </c>
      <c r="B22" s="67"/>
      <c r="C22" s="67" t="str">
        <f>"本页实收金额: "&amp;TEXT(SUMPRODUCT($E$8:$E$19,$F$8:$F$19),"0.00")&amp;" 元"</f>
        <v>本页实收金额: 0.00 元</v>
      </c>
      <c r="D22" s="67"/>
      <c r="E22" s="67"/>
      <c r="F22" s="67" t="str">
        <f>"实收总额: "&amp;TEXT(IF(G20+G39=0,"    ",G20+G39),"0.00")&amp;" 元"</f>
        <v>实收总额:      元</v>
      </c>
      <c r="G22" s="67"/>
      <c r="H22" s="67"/>
      <c r="I22" s="36"/>
      <c r="J22" s="69" t="s">
        <v>28</v>
      </c>
      <c r="K22" s="69"/>
      <c r="L22" s="69"/>
      <c r="M22" s="69"/>
    </row>
    <row r="23" spans="1:13" ht="18" customHeight="1">
      <c r="A23" s="67" t="s">
        <v>29</v>
      </c>
      <c r="B23" s="67"/>
      <c r="C23" s="67" t="s">
        <v>30</v>
      </c>
      <c r="D23" s="67"/>
      <c r="E23" s="67"/>
      <c r="F23" s="67"/>
      <c r="G23" s="67"/>
      <c r="H23" s="67"/>
      <c r="I23" s="36"/>
      <c r="J23" s="69"/>
      <c r="K23" s="69"/>
      <c r="L23" s="69"/>
      <c r="M23" s="69"/>
    </row>
    <row r="24" spans="1:13" ht="18" customHeight="1">
      <c r="A24" s="68" t="s">
        <v>31</v>
      </c>
      <c r="B24" s="68"/>
      <c r="C24" s="68" t="s">
        <v>0</v>
      </c>
      <c r="D24" s="68" t="s">
        <v>0</v>
      </c>
      <c r="E24" s="68" t="s">
        <v>0</v>
      </c>
      <c r="F24" s="68" t="s">
        <v>0</v>
      </c>
      <c r="G24" s="68" t="s">
        <v>0</v>
      </c>
      <c r="H24" s="68" t="s">
        <v>0</v>
      </c>
      <c r="I24" s="36"/>
      <c r="J24" s="70" t="str">
        <f>"价格表"&amp;原料数据!$E$1&amp;原料数据!$F$1</f>
        <v>价格表更新时间:2019年06月02日 22:01:47</v>
      </c>
      <c r="K24" s="71"/>
      <c r="L24" s="71"/>
      <c r="M24" s="71"/>
    </row>
    <row r="25" spans="1:13" ht="8.1" customHeight="1">
      <c r="A25" s="72"/>
      <c r="B25" s="72"/>
      <c r="C25" s="72"/>
      <c r="D25" s="72"/>
      <c r="E25" s="72"/>
      <c r="F25" s="72"/>
      <c r="G25" s="72"/>
      <c r="H25" s="72"/>
      <c r="I25" s="36"/>
      <c r="J25" s="71"/>
      <c r="K25" s="71"/>
      <c r="L25" s="71"/>
      <c r="M25" s="71"/>
    </row>
    <row r="26" spans="1:13" ht="15.95" customHeight="1">
      <c r="A26" s="15" t="s">
        <v>13</v>
      </c>
      <c r="B26" s="16" t="s">
        <v>14</v>
      </c>
      <c r="C26" s="16" t="s">
        <v>15</v>
      </c>
      <c r="D26" s="16" t="s">
        <v>16</v>
      </c>
      <c r="E26" s="16" t="s">
        <v>17</v>
      </c>
      <c r="F26" s="17" t="s">
        <v>18</v>
      </c>
      <c r="G26" s="18" t="s">
        <v>19</v>
      </c>
      <c r="H26" s="16" t="s">
        <v>20</v>
      </c>
      <c r="I26" s="36"/>
      <c r="J26" s="58" t="s">
        <v>32</v>
      </c>
      <c r="K26" s="58"/>
      <c r="L26" s="59" t="s">
        <v>33</v>
      </c>
      <c r="M26" s="58"/>
    </row>
    <row r="27" spans="1:13" ht="15.95" customHeight="1">
      <c r="A27" s="19">
        <v>13</v>
      </c>
      <c r="B27" s="16"/>
      <c r="C27" s="21"/>
      <c r="D27" s="21"/>
      <c r="E27" s="22"/>
      <c r="F27" s="29"/>
      <c r="G27" s="24">
        <f>E27*F27</f>
        <v>0</v>
      </c>
      <c r="H27" s="21"/>
      <c r="I27" s="36">
        <v>1</v>
      </c>
      <c r="J27" s="52"/>
      <c r="K27" s="52"/>
      <c r="L27" s="53"/>
      <c r="M27" s="53"/>
    </row>
    <row r="28" spans="1:13" ht="15.95" customHeight="1">
      <c r="A28" s="19">
        <v>14</v>
      </c>
      <c r="B28" s="16"/>
      <c r="C28" s="21"/>
      <c r="D28" s="21"/>
      <c r="E28" s="22"/>
      <c r="F28" s="29"/>
      <c r="G28" s="24">
        <f t="shared" ref="G28:G38" si="1">E28*F28</f>
        <v>0</v>
      </c>
      <c r="H28" s="21"/>
      <c r="I28" s="36">
        <v>2</v>
      </c>
      <c r="J28" s="52"/>
      <c r="K28" s="52"/>
      <c r="L28" s="53"/>
      <c r="M28" s="53"/>
    </row>
    <row r="29" spans="1:13" ht="15.95" customHeight="1">
      <c r="A29" s="19">
        <v>15</v>
      </c>
      <c r="B29" s="16"/>
      <c r="C29" s="21"/>
      <c r="D29" s="21"/>
      <c r="E29" s="22"/>
      <c r="F29" s="29"/>
      <c r="G29" s="24">
        <f t="shared" si="1"/>
        <v>0</v>
      </c>
      <c r="H29" s="21"/>
      <c r="I29" s="36">
        <v>3</v>
      </c>
      <c r="J29" s="52"/>
      <c r="K29" s="52"/>
      <c r="L29" s="53"/>
      <c r="M29" s="53"/>
    </row>
    <row r="30" spans="1:13" ht="15.95" customHeight="1">
      <c r="A30" s="19">
        <v>16</v>
      </c>
      <c r="B30" s="16"/>
      <c r="C30" s="21"/>
      <c r="D30" s="21"/>
      <c r="E30" s="22"/>
      <c r="F30" s="29"/>
      <c r="G30" s="24">
        <f t="shared" si="1"/>
        <v>0</v>
      </c>
      <c r="H30" s="21"/>
      <c r="I30" s="36">
        <v>4</v>
      </c>
      <c r="J30" s="52"/>
      <c r="K30" s="52"/>
      <c r="L30" s="53"/>
      <c r="M30" s="53"/>
    </row>
    <row r="31" spans="1:13" ht="15.95" customHeight="1">
      <c r="A31" s="19">
        <v>17</v>
      </c>
      <c r="B31" s="16"/>
      <c r="C31" s="21"/>
      <c r="D31" s="21"/>
      <c r="E31" s="22"/>
      <c r="F31" s="29"/>
      <c r="G31" s="24">
        <f t="shared" si="1"/>
        <v>0</v>
      </c>
      <c r="H31" s="21"/>
      <c r="I31" s="36">
        <v>5</v>
      </c>
      <c r="J31" s="52"/>
      <c r="K31" s="52"/>
      <c r="L31" s="53"/>
      <c r="M31" s="53"/>
    </row>
    <row r="32" spans="1:13" ht="15.95" customHeight="1">
      <c r="A32" s="19">
        <v>18</v>
      </c>
      <c r="B32" s="16"/>
      <c r="C32" s="21"/>
      <c r="D32" s="21"/>
      <c r="E32" s="22"/>
      <c r="F32" s="29"/>
      <c r="G32" s="24">
        <f t="shared" si="1"/>
        <v>0</v>
      </c>
      <c r="H32" s="21"/>
      <c r="I32" s="36">
        <v>6</v>
      </c>
      <c r="J32" s="52"/>
      <c r="K32" s="52"/>
      <c r="L32" s="53"/>
      <c r="M32" s="53"/>
    </row>
    <row r="33" spans="1:13" ht="15.95" customHeight="1">
      <c r="A33" s="19">
        <v>19</v>
      </c>
      <c r="B33" s="16"/>
      <c r="C33" s="21"/>
      <c r="D33" s="21"/>
      <c r="E33" s="22"/>
      <c r="F33" s="29"/>
      <c r="G33" s="24">
        <f t="shared" si="1"/>
        <v>0</v>
      </c>
      <c r="H33" s="21"/>
      <c r="I33" s="36">
        <v>7</v>
      </c>
      <c r="J33" s="52"/>
      <c r="K33" s="52"/>
      <c r="L33" s="53"/>
      <c r="M33" s="53"/>
    </row>
    <row r="34" spans="1:13" ht="15.95" customHeight="1">
      <c r="A34" s="19">
        <v>20</v>
      </c>
      <c r="B34" s="16"/>
      <c r="C34" s="21"/>
      <c r="D34" s="21"/>
      <c r="E34" s="22"/>
      <c r="F34" s="29"/>
      <c r="G34" s="24">
        <f t="shared" si="1"/>
        <v>0</v>
      </c>
      <c r="H34" s="21"/>
      <c r="I34" s="36">
        <v>8</v>
      </c>
      <c r="J34" s="52"/>
      <c r="K34" s="52"/>
      <c r="L34" s="53"/>
      <c r="M34" s="53"/>
    </row>
    <row r="35" spans="1:13" ht="15.95" customHeight="1">
      <c r="A35" s="19">
        <v>21</v>
      </c>
      <c r="B35" s="16"/>
      <c r="C35" s="21"/>
      <c r="D35" s="21"/>
      <c r="E35" s="22"/>
      <c r="F35" s="29"/>
      <c r="G35" s="24">
        <f t="shared" si="1"/>
        <v>0</v>
      </c>
      <c r="H35" s="21"/>
      <c r="I35" s="36">
        <v>9</v>
      </c>
      <c r="J35" s="52"/>
      <c r="K35" s="52"/>
      <c r="L35" s="53"/>
      <c r="M35" s="53"/>
    </row>
    <row r="36" spans="1:13" ht="15.95" customHeight="1">
      <c r="A36" s="19">
        <v>22</v>
      </c>
      <c r="B36" s="16"/>
      <c r="C36" s="21"/>
      <c r="D36" s="21"/>
      <c r="E36" s="22"/>
      <c r="F36" s="29"/>
      <c r="G36" s="24">
        <f t="shared" si="1"/>
        <v>0</v>
      </c>
      <c r="H36" s="21"/>
      <c r="I36" s="36">
        <v>10</v>
      </c>
      <c r="J36" s="52"/>
      <c r="K36" s="52"/>
      <c r="L36" s="53"/>
      <c r="M36" s="53"/>
    </row>
    <row r="37" spans="1:13" ht="15.95" customHeight="1">
      <c r="A37" s="19">
        <v>23</v>
      </c>
      <c r="B37" s="16"/>
      <c r="C37" s="21"/>
      <c r="D37" s="21"/>
      <c r="E37" s="22"/>
      <c r="F37" s="29"/>
      <c r="G37" s="24">
        <f t="shared" si="1"/>
        <v>0</v>
      </c>
      <c r="H37" s="21"/>
      <c r="I37" s="36">
        <v>11</v>
      </c>
      <c r="J37" s="52"/>
      <c r="K37" s="52"/>
      <c r="L37" s="53"/>
      <c r="M37" s="53"/>
    </row>
    <row r="38" spans="1:13" ht="15.95" customHeight="1">
      <c r="A38" s="19">
        <v>24</v>
      </c>
      <c r="B38" s="16"/>
      <c r="C38" s="21"/>
      <c r="D38" s="21"/>
      <c r="E38" s="22"/>
      <c r="F38" s="29"/>
      <c r="G38" s="24">
        <f t="shared" si="1"/>
        <v>0</v>
      </c>
      <c r="H38" s="21"/>
      <c r="I38" s="36">
        <v>12</v>
      </c>
      <c r="J38" s="52"/>
      <c r="K38" s="52"/>
      <c r="L38" s="53"/>
      <c r="M38" s="53"/>
    </row>
    <row r="39" spans="1:13" ht="15.95" customHeight="1">
      <c r="A39" s="19"/>
      <c r="B39" s="25" t="str">
        <f>"本页合计"</f>
        <v>本页合计</v>
      </c>
      <c r="C39" s="25"/>
      <c r="D39" s="25"/>
      <c r="E39" s="27">
        <f>SUM($E$27:$E$38)</f>
        <v>0</v>
      </c>
      <c r="F39" s="30"/>
      <c r="G39" s="24">
        <f>SUM(G27:G38)</f>
        <v>0</v>
      </c>
      <c r="H39" s="26" t="s">
        <v>0</v>
      </c>
      <c r="I39" s="36"/>
      <c r="J39" s="52"/>
      <c r="K39" s="52"/>
      <c r="L39" s="53"/>
      <c r="M39" s="53"/>
    </row>
    <row r="40" spans="1:13" ht="8.1" customHeight="1">
      <c r="A40" s="73" t="s">
        <v>0</v>
      </c>
      <c r="B40" s="73" t="s">
        <v>0</v>
      </c>
      <c r="C40" s="73" t="s">
        <v>0</v>
      </c>
      <c r="D40" s="73" t="s">
        <v>0</v>
      </c>
      <c r="E40" s="73" t="s">
        <v>0</v>
      </c>
      <c r="F40" s="73" t="s">
        <v>0</v>
      </c>
      <c r="G40" s="73" t="s">
        <v>0</v>
      </c>
      <c r="H40" s="73" t="s">
        <v>0</v>
      </c>
      <c r="I40" s="36"/>
      <c r="J40" s="52"/>
      <c r="K40" s="52"/>
      <c r="L40" s="53"/>
      <c r="M40" s="53"/>
    </row>
    <row r="41" spans="1:13" ht="18" customHeight="1">
      <c r="A41" s="67" t="str">
        <f>$A$22</f>
        <v>制单人:齐凤云(13817497731)</v>
      </c>
      <c r="B41" s="67" t="s">
        <v>0</v>
      </c>
      <c r="C41" s="67" t="str">
        <f>"本页实收金额: "&amp;TEXT(SUMPRODUCT($E$27:$E$38,$F$27:$F$38),"0.00")&amp;" 元"</f>
        <v>本页实收金额: 0.00 元</v>
      </c>
      <c r="D41" s="67"/>
      <c r="E41" s="67"/>
      <c r="F41" s="67" t="str">
        <f>$F$22</f>
        <v>实收总额:      元</v>
      </c>
      <c r="G41" s="67"/>
      <c r="H41" s="67"/>
      <c r="I41" s="36"/>
      <c r="J41" s="52"/>
      <c r="K41" s="52"/>
      <c r="L41" s="53"/>
      <c r="M41" s="53"/>
    </row>
    <row r="42" spans="1:13" ht="18" customHeight="1">
      <c r="A42" s="67" t="s">
        <v>29</v>
      </c>
      <c r="B42" s="67"/>
      <c r="C42" s="67" t="s">
        <v>30</v>
      </c>
      <c r="D42" s="67"/>
      <c r="E42" s="67"/>
      <c r="F42" s="67"/>
      <c r="G42" s="67"/>
      <c r="H42" s="67"/>
      <c r="I42" s="36"/>
      <c r="J42" s="52"/>
      <c r="K42" s="52"/>
      <c r="L42" s="53"/>
      <c r="M42" s="53"/>
    </row>
    <row r="43" spans="1:13" ht="18" customHeight="1">
      <c r="A43" s="68" t="str">
        <f>"谢谢您的惠顾，我们会竭诚为您提供最好的商品和服务。"</f>
        <v>谢谢您的惠顾，我们会竭诚为您提供最好的商品和服务。</v>
      </c>
      <c r="B43" s="68" t="s">
        <v>0</v>
      </c>
      <c r="C43" s="68" t="s">
        <v>0</v>
      </c>
      <c r="D43" s="68" t="s">
        <v>0</v>
      </c>
      <c r="E43" s="68" t="s">
        <v>0</v>
      </c>
      <c r="F43" s="68" t="s">
        <v>0</v>
      </c>
      <c r="G43" s="68" t="s">
        <v>0</v>
      </c>
      <c r="H43" s="68" t="s">
        <v>0</v>
      </c>
      <c r="I43" s="36"/>
      <c r="J43" s="52"/>
      <c r="K43" s="52"/>
      <c r="L43" s="53"/>
      <c r="M43" s="53"/>
    </row>
    <row r="44" spans="1:13" ht="8.1" customHeight="1">
      <c r="A44" s="31"/>
      <c r="B44" s="32"/>
      <c r="C44" s="33"/>
      <c r="D44" s="33"/>
      <c r="E44" s="33"/>
      <c r="F44" s="34"/>
      <c r="G44" s="35"/>
      <c r="H44" s="33"/>
      <c r="I44" s="36"/>
      <c r="J44" s="52"/>
      <c r="K44" s="52"/>
      <c r="L44" s="53"/>
      <c r="M44" s="53"/>
    </row>
    <row r="45" spans="1:13" ht="18" customHeight="1">
      <c r="A45" s="31"/>
      <c r="B45" s="32"/>
      <c r="C45" s="33"/>
      <c r="D45" s="33"/>
      <c r="E45" s="33"/>
      <c r="F45" s="34"/>
      <c r="G45" s="35"/>
      <c r="H45" s="33"/>
    </row>
    <row r="46" spans="1:13" ht="18" customHeight="1">
      <c r="A46" s="31"/>
      <c r="B46" s="32"/>
      <c r="C46" s="33"/>
      <c r="D46" s="33"/>
      <c r="E46" s="33"/>
      <c r="F46" s="34"/>
      <c r="G46" s="35"/>
      <c r="H46" s="33"/>
    </row>
    <row r="47" spans="1:13" ht="15" customHeight="1">
      <c r="A47" s="31"/>
      <c r="B47" s="32"/>
      <c r="C47" s="33"/>
      <c r="D47" s="33"/>
      <c r="E47" s="33"/>
      <c r="F47" s="34"/>
      <c r="G47" s="35"/>
      <c r="H47" s="33"/>
    </row>
    <row r="48" spans="1:13" ht="18" customHeight="1">
      <c r="A48" s="31"/>
      <c r="B48" s="32"/>
      <c r="C48" s="33"/>
      <c r="D48" s="33"/>
      <c r="E48" s="33"/>
      <c r="F48" s="34"/>
      <c r="G48" s="35"/>
      <c r="H48" s="33"/>
    </row>
    <row r="49" spans="1:8" ht="15" customHeight="1">
      <c r="A49" s="31"/>
      <c r="B49" s="32"/>
      <c r="C49" s="33"/>
      <c r="D49" s="33"/>
      <c r="E49" s="33"/>
      <c r="F49" s="34"/>
      <c r="G49" s="35"/>
      <c r="H49" s="33"/>
    </row>
    <row r="50" spans="1:8">
      <c r="A50" s="31"/>
      <c r="B50" s="32"/>
      <c r="C50" s="33"/>
      <c r="D50" s="33"/>
      <c r="E50" s="33"/>
      <c r="F50" s="34"/>
      <c r="G50" s="35"/>
      <c r="H50" s="33"/>
    </row>
    <row r="51" spans="1:8">
      <c r="A51" s="31"/>
      <c r="B51" s="32"/>
      <c r="C51" s="33"/>
      <c r="D51" s="33"/>
      <c r="E51" s="33"/>
      <c r="F51" s="34"/>
      <c r="G51" s="35"/>
      <c r="H51" s="33"/>
    </row>
    <row r="52" spans="1:8">
      <c r="A52" s="31"/>
      <c r="B52" s="32"/>
      <c r="C52" s="33"/>
      <c r="D52" s="33"/>
      <c r="E52" s="33"/>
      <c r="F52" s="34"/>
      <c r="G52" s="35"/>
      <c r="H52" s="33"/>
    </row>
    <row r="53" spans="1:8">
      <c r="A53" s="31"/>
      <c r="B53" s="32"/>
      <c r="C53" s="33"/>
      <c r="D53" s="33"/>
      <c r="E53" s="33"/>
      <c r="F53" s="34"/>
      <c r="G53" s="35"/>
      <c r="H53" s="33"/>
    </row>
    <row r="54" spans="1:8">
      <c r="A54" s="31"/>
      <c r="B54" s="32"/>
      <c r="C54" s="33"/>
      <c r="D54" s="33"/>
      <c r="E54" s="33"/>
      <c r="F54" s="34"/>
      <c r="G54" s="35"/>
      <c r="H54" s="33"/>
    </row>
    <row r="55" spans="1:8">
      <c r="A55" s="31"/>
      <c r="B55" s="32"/>
      <c r="C55" s="33"/>
      <c r="D55" s="33"/>
      <c r="E55" s="33"/>
      <c r="F55" s="34"/>
      <c r="G55" s="35"/>
      <c r="H55" s="33"/>
    </row>
    <row r="56" spans="1:8">
      <c r="A56" s="31"/>
      <c r="B56" s="32"/>
      <c r="C56" s="33"/>
      <c r="D56" s="33"/>
      <c r="E56" s="33"/>
      <c r="F56" s="34"/>
      <c r="G56" s="35"/>
      <c r="H56" s="33"/>
    </row>
    <row r="57" spans="1:8">
      <c r="A57" s="31"/>
      <c r="B57" s="32"/>
      <c r="C57" s="33"/>
      <c r="D57" s="33"/>
      <c r="E57" s="33"/>
      <c r="F57" s="34"/>
      <c r="G57" s="35"/>
      <c r="H57" s="33"/>
    </row>
    <row r="58" spans="1:8">
      <c r="A58" s="31"/>
      <c r="B58" s="32"/>
      <c r="C58" s="33"/>
      <c r="D58" s="33"/>
      <c r="E58" s="33"/>
      <c r="F58" s="34"/>
      <c r="G58" s="35"/>
      <c r="H58" s="33"/>
    </row>
    <row r="59" spans="1:8">
      <c r="A59" s="31"/>
      <c r="B59" s="32"/>
      <c r="C59" s="33"/>
      <c r="D59" s="33"/>
      <c r="E59" s="33"/>
      <c r="F59" s="34"/>
      <c r="G59" s="35"/>
      <c r="H59" s="33"/>
    </row>
    <row r="60" spans="1:8">
      <c r="A60" s="31"/>
      <c r="B60" s="32"/>
      <c r="C60" s="33"/>
      <c r="D60" s="33"/>
      <c r="E60" s="33"/>
      <c r="F60" s="34"/>
      <c r="G60" s="35"/>
      <c r="H60" s="33"/>
    </row>
    <row r="61" spans="1:8">
      <c r="A61" s="31"/>
      <c r="B61" s="32"/>
      <c r="C61" s="33"/>
      <c r="D61" s="33"/>
      <c r="E61" s="33"/>
      <c r="F61" s="34"/>
      <c r="G61" s="35"/>
      <c r="H61" s="33"/>
    </row>
    <row r="62" spans="1:8">
      <c r="A62" s="31"/>
      <c r="B62" s="32"/>
      <c r="C62" s="33"/>
      <c r="D62" s="33"/>
      <c r="E62" s="33"/>
      <c r="F62" s="34"/>
      <c r="G62" s="35"/>
      <c r="H62" s="33"/>
    </row>
    <row r="63" spans="1:8">
      <c r="A63" s="31"/>
      <c r="B63" s="32"/>
      <c r="C63" s="33"/>
      <c r="D63" s="33"/>
      <c r="E63" s="33"/>
      <c r="F63" s="34"/>
      <c r="G63" s="35"/>
      <c r="H63" s="33"/>
    </row>
    <row r="64" spans="1:8">
      <c r="A64" s="31"/>
      <c r="B64" s="32"/>
      <c r="C64" s="33"/>
      <c r="D64" s="33"/>
      <c r="E64" s="33"/>
      <c r="F64" s="34"/>
      <c r="G64" s="35"/>
      <c r="H64" s="33"/>
    </row>
    <row r="65" spans="1:8">
      <c r="A65" s="31"/>
      <c r="B65" s="32"/>
      <c r="C65" s="33"/>
      <c r="D65" s="33"/>
      <c r="E65" s="33"/>
      <c r="F65" s="34"/>
      <c r="G65" s="35"/>
      <c r="H65" s="33"/>
    </row>
    <row r="66" spans="1:8">
      <c r="A66" s="31"/>
      <c r="B66" s="32"/>
      <c r="C66" s="33"/>
      <c r="D66" s="33"/>
      <c r="E66" s="33"/>
      <c r="F66" s="34"/>
      <c r="G66" s="35"/>
      <c r="H66" s="33"/>
    </row>
    <row r="67" spans="1:8">
      <c r="A67" s="31"/>
      <c r="B67" s="32"/>
      <c r="C67" s="33"/>
      <c r="D67" s="33"/>
      <c r="E67" s="33"/>
      <c r="F67" s="34"/>
      <c r="G67" s="35"/>
      <c r="H67" s="33"/>
    </row>
    <row r="68" spans="1:8">
      <c r="A68" s="31"/>
      <c r="B68" s="32"/>
      <c r="C68" s="33"/>
      <c r="D68" s="33"/>
      <c r="E68" s="33"/>
      <c r="F68" s="34"/>
      <c r="G68" s="35"/>
      <c r="H68" s="33"/>
    </row>
  </sheetData>
  <sheetProtection algorithmName="SHA-512" hashValue="9eFOX9BS5dtTTazGWpf8wXDLzE97of1sVlSw8ljEDfGbzMJXaTzfl6+XlHT2XM3fy/kq/PY13/7lSyYvHaRcTw==" saltValue="28xqMMJRSoESs5Ll7a//ug==" spinCount="100000" sheet="1" objects="1" scenarios="1" formatCells="0"/>
  <mergeCells count="36">
    <mergeCell ref="A42:B42"/>
    <mergeCell ref="C42:E42"/>
    <mergeCell ref="F42:H42"/>
    <mergeCell ref="A43:H43"/>
    <mergeCell ref="J10:M11"/>
    <mergeCell ref="J12:M13"/>
    <mergeCell ref="J14:M15"/>
    <mergeCell ref="J22:M23"/>
    <mergeCell ref="J24:M25"/>
    <mergeCell ref="A24:H24"/>
    <mergeCell ref="A25:H25"/>
    <mergeCell ref="A40:H40"/>
    <mergeCell ref="A41:B41"/>
    <mergeCell ref="C41:E41"/>
    <mergeCell ref="F41:H41"/>
    <mergeCell ref="A21:H21"/>
    <mergeCell ref="A22:B22"/>
    <mergeCell ref="C22:E22"/>
    <mergeCell ref="F22:H22"/>
    <mergeCell ref="A23:B23"/>
    <mergeCell ref="C23:E23"/>
    <mergeCell ref="F23:H23"/>
    <mergeCell ref="A5:B5"/>
    <mergeCell ref="C5:E5"/>
    <mergeCell ref="F5:H5"/>
    <mergeCell ref="A6:H6"/>
    <mergeCell ref="J16:K16"/>
    <mergeCell ref="J8:M9"/>
    <mergeCell ref="J1:M1"/>
    <mergeCell ref="A3:B3"/>
    <mergeCell ref="C3:E3"/>
    <mergeCell ref="F3:H3"/>
    <mergeCell ref="A4:B4"/>
    <mergeCell ref="C4:E4"/>
    <mergeCell ref="F4:H4"/>
    <mergeCell ref="A1:H2"/>
  </mergeCells>
  <phoneticPr fontId="27" type="noConversion"/>
  <dataValidations count="2">
    <dataValidation type="list" allowBlank="1" showInputMessage="1" sqref="M3">
      <formula1>"蔬菜类,荤菜类,调料类,水果类"</formula1>
    </dataValidation>
    <dataValidation type="list" allowBlank="1" showInputMessage="1" sqref="D8:D19 D27:D38">
      <formula1>"kg,g,斤,个,件,包,箱,桶,袋,吨,片,套,瓶,只,支,盒,条"</formula1>
    </dataValidation>
  </dataValidations>
  <printOptions horizontalCentered="1"/>
  <pageMargins left="0.19685039370078741" right="0.19685039370078741" top="0.11811023622047245" bottom="0.11811023622047245" header="0.31496062992125984" footer="0.31496062992125984"/>
  <pageSetup paperSize="8" fitToWidth="0" fitToHeight="0" orientation="portrait" horizontalDpi="1200" verticalDpi="1200" r:id="rId1"/>
  <headerFooter>
    <oddFooter>&amp;R&amp;"宋体,常规"第&amp;"Arial,常规" &amp;P &amp;"宋体,常规"页，共&amp;"Arial,常规" &amp;N &amp;"宋体,常规"页</oddFooter>
  </headerFooter>
  <rowBreaks count="1" manualBreakCount="1">
    <brk id="50" max="10" man="1"/>
  </rowBreaks>
  <colBreaks count="1" manualBreakCount="1">
    <brk id="8" max="1048575" man="1"/>
  </colBreaks>
  <drawing r:id="rId2"/>
  <legacyDrawing r:id="rId3"/>
  <controls>
    <mc:AlternateContent xmlns:mc="http://schemas.openxmlformats.org/markup-compatibility/2006">
      <mc:Choice Requires="x14">
        <control shapeId="1051" r:id="rId4" name="GetPrice">
          <controlPr defaultSize="0" altText="" r:id="rId5">
            <anchor moveWithCells="1">
              <from>
                <xdr:col>12</xdr:col>
                <xdr:colOff>219075</xdr:colOff>
                <xdr:row>18</xdr:row>
                <xdr:rowOff>114300</xdr:rowOff>
              </from>
              <to>
                <xdr:col>12</xdr:col>
                <xdr:colOff>1114425</xdr:colOff>
                <xdr:row>21</xdr:row>
                <xdr:rowOff>9525</xdr:rowOff>
              </to>
            </anchor>
          </controlPr>
        </control>
      </mc:Choice>
      <mc:Fallback>
        <control shapeId="1051" r:id="rId4" name="GetPrice"/>
      </mc:Fallback>
    </mc:AlternateContent>
    <mc:AlternateContent xmlns:mc="http://schemas.openxmlformats.org/markup-compatibility/2006">
      <mc:Choice Requires="x14">
        <control shapeId="1048" r:id="rId6" name="CommandButton1">
          <controlPr defaultSize="0" print="0" altText="" r:id="rId7">
            <anchor moveWithCells="1">
              <from>
                <xdr:col>10</xdr:col>
                <xdr:colOff>1552575</xdr:colOff>
                <xdr:row>18</xdr:row>
                <xdr:rowOff>114300</xdr:rowOff>
              </from>
              <to>
                <xdr:col>12</xdr:col>
                <xdr:colOff>28575</xdr:colOff>
                <xdr:row>21</xdr:row>
                <xdr:rowOff>9525</xdr:rowOff>
              </to>
            </anchor>
          </controlPr>
        </control>
      </mc:Choice>
      <mc:Fallback>
        <control shapeId="1048" r:id="rId6" name="CommandButton1"/>
      </mc:Fallback>
    </mc:AlternateContent>
    <mc:AlternateContent xmlns:mc="http://schemas.openxmlformats.org/markup-compatibility/2006">
      <mc:Choice Requires="x14">
        <control shapeId="1045" r:id="rId8" name="SaveMe">
          <controlPr defaultSize="0" altText="" r:id="rId9">
            <anchor moveWithCells="1">
              <from>
                <xdr:col>13</xdr:col>
                <xdr:colOff>28575</xdr:colOff>
                <xdr:row>0</xdr:row>
                <xdr:rowOff>9525</xdr:rowOff>
              </from>
              <to>
                <xdr:col>13</xdr:col>
                <xdr:colOff>285750</xdr:colOff>
                <xdr:row>0</xdr:row>
                <xdr:rowOff>161925</xdr:rowOff>
              </to>
            </anchor>
          </controlPr>
        </control>
      </mc:Choice>
      <mc:Fallback>
        <control shapeId="1045" r:id="rId8" name="SaveMe"/>
      </mc:Fallback>
    </mc:AlternateContent>
    <mc:AlternateContent xmlns:mc="http://schemas.openxmlformats.org/markup-compatibility/2006">
      <mc:Choice Requires="x14">
        <control shapeId="1043" r:id="rId10" name="HideSheet2">
          <controlPr defaultSize="0" print="0" altText="" r:id="rId11">
            <anchor moveWithCells="1">
              <from>
                <xdr:col>10</xdr:col>
                <xdr:colOff>371475</xdr:colOff>
                <xdr:row>18</xdr:row>
                <xdr:rowOff>114300</xdr:rowOff>
              </from>
              <to>
                <xdr:col>10</xdr:col>
                <xdr:colOff>1266825</xdr:colOff>
                <xdr:row>21</xdr:row>
                <xdr:rowOff>9525</xdr:rowOff>
              </to>
            </anchor>
          </controlPr>
        </control>
      </mc:Choice>
      <mc:Fallback>
        <control shapeId="1043" r:id="rId10" name="HideSheet2"/>
      </mc:Fallback>
    </mc:AlternateContent>
    <mc:AlternateContent xmlns:mc="http://schemas.openxmlformats.org/markup-compatibility/2006">
      <mc:Choice Requires="x14">
        <control shapeId="1040" r:id="rId12" name="ListBox1">
          <controlPr defaultSize="0" print="0" altText="" r:id="rId13">
            <anchor moveWithCells="1">
              <from>
                <xdr:col>13</xdr:col>
                <xdr:colOff>123825</xdr:colOff>
                <xdr:row>8</xdr:row>
                <xdr:rowOff>104775</xdr:rowOff>
              </from>
              <to>
                <xdr:col>17</xdr:col>
                <xdr:colOff>428625</xdr:colOff>
                <xdr:row>13</xdr:row>
                <xdr:rowOff>104775</xdr:rowOff>
              </to>
            </anchor>
          </controlPr>
        </control>
      </mc:Choice>
      <mc:Fallback>
        <control shapeId="1040" r:id="rId12" name="ListBox1"/>
      </mc:Fallback>
    </mc:AlternateContent>
    <mc:AlternateContent xmlns:mc="http://schemas.openxmlformats.org/markup-compatibility/2006">
      <mc:Choice Requires="x14">
        <control shapeId="1038" r:id="rId14" name="TextBox1">
          <controlPr defaultSize="0" print="0" altText="" linkedCell="B8" r:id="rId15">
            <anchor moveWithCells="1">
              <from>
                <xdr:col>13</xdr:col>
                <xdr:colOff>123825</xdr:colOff>
                <xdr:row>7</xdr:row>
                <xdr:rowOff>0</xdr:rowOff>
              </from>
              <to>
                <xdr:col>17</xdr:col>
                <xdr:colOff>428625</xdr:colOff>
                <xdr:row>8</xdr:row>
                <xdr:rowOff>104775</xdr:rowOff>
              </to>
            </anchor>
          </controlPr>
        </control>
      </mc:Choice>
      <mc:Fallback>
        <control shapeId="1038" r:id="rId14" name="TextBox1"/>
      </mc:Fallback>
    </mc:AlternateContent>
    <mc:AlternateContent xmlns:mc="http://schemas.openxmlformats.org/markup-compatibility/2006">
      <mc:Choice Requires="x14">
        <control shapeId="1036" r:id="rId16" name="OpenPath">
          <controlPr defaultSize="0" print="0" altText="" r:id="rId17">
            <anchor moveWithCells="1">
              <from>
                <xdr:col>9</xdr:col>
                <xdr:colOff>19050</xdr:colOff>
                <xdr:row>16</xdr:row>
                <xdr:rowOff>38100</xdr:rowOff>
              </from>
              <to>
                <xdr:col>10</xdr:col>
                <xdr:colOff>161925</xdr:colOff>
                <xdr:row>18</xdr:row>
                <xdr:rowOff>28575</xdr:rowOff>
              </to>
            </anchor>
          </controlPr>
        </control>
      </mc:Choice>
      <mc:Fallback>
        <control shapeId="1036" r:id="rId16" name="OpenPath"/>
      </mc:Fallback>
    </mc:AlternateContent>
    <mc:AlternateContent xmlns:mc="http://schemas.openxmlformats.org/markup-compatibility/2006">
      <mc:Choice Requires="x14">
        <control shapeId="1035" r:id="rId18" name="SaveAsXLSX">
          <controlPr defaultSize="0" print="0" altText="" r:id="rId19">
            <anchor moveWithCells="1">
              <from>
                <xdr:col>12</xdr:col>
                <xdr:colOff>219075</xdr:colOff>
                <xdr:row>16</xdr:row>
                <xdr:rowOff>28575</xdr:rowOff>
              </from>
              <to>
                <xdr:col>12</xdr:col>
                <xdr:colOff>1114425</xdr:colOff>
                <xdr:row>18</xdr:row>
                <xdr:rowOff>19050</xdr:rowOff>
              </to>
            </anchor>
          </controlPr>
        </control>
      </mc:Choice>
      <mc:Fallback>
        <control shapeId="1035" r:id="rId18" name="SaveAsXLSX"/>
      </mc:Fallback>
    </mc:AlternateContent>
    <mc:AlternateContent xmlns:mc="http://schemas.openxmlformats.org/markup-compatibility/2006">
      <mc:Choice Requires="x14">
        <control shapeId="1034" r:id="rId20" name="ClearButton">
          <controlPr defaultSize="0" print="0" altText="" r:id="rId21">
            <anchor moveWithCells="1">
              <from>
                <xdr:col>9</xdr:col>
                <xdr:colOff>19050</xdr:colOff>
                <xdr:row>18</xdr:row>
                <xdr:rowOff>114300</xdr:rowOff>
              </from>
              <to>
                <xdr:col>10</xdr:col>
                <xdr:colOff>161925</xdr:colOff>
                <xdr:row>21</xdr:row>
                <xdr:rowOff>9525</xdr:rowOff>
              </to>
            </anchor>
          </controlPr>
        </control>
      </mc:Choice>
      <mc:Fallback>
        <control shapeId="1034" r:id="rId20" name="ClearButton"/>
      </mc:Fallback>
    </mc:AlternateContent>
    <mc:AlternateContent xmlns:mc="http://schemas.openxmlformats.org/markup-compatibility/2006">
      <mc:Choice Requires="x14">
        <control shapeId="1033" r:id="rId22" name="PrintPDF">
          <controlPr defaultSize="0" print="0" altText="" r:id="rId23">
            <anchor moveWithCells="1">
              <from>
                <xdr:col>10</xdr:col>
                <xdr:colOff>361950</xdr:colOff>
                <xdr:row>16</xdr:row>
                <xdr:rowOff>38100</xdr:rowOff>
              </from>
              <to>
                <xdr:col>10</xdr:col>
                <xdr:colOff>1257300</xdr:colOff>
                <xdr:row>18</xdr:row>
                <xdr:rowOff>28575</xdr:rowOff>
              </to>
            </anchor>
          </controlPr>
        </control>
      </mc:Choice>
      <mc:Fallback>
        <control shapeId="1033" r:id="rId22" name="PrintPDF"/>
      </mc:Fallback>
    </mc:AlternateContent>
    <mc:AlternateContent xmlns:mc="http://schemas.openxmlformats.org/markup-compatibility/2006">
      <mc:Choice Requires="x14">
        <control shapeId="1028" r:id="rId24" name="PrintButton">
          <controlPr defaultSize="0" print="0" altText="" r:id="rId25">
            <anchor moveWithCells="1">
              <from>
                <xdr:col>10</xdr:col>
                <xdr:colOff>1533525</xdr:colOff>
                <xdr:row>16</xdr:row>
                <xdr:rowOff>38100</xdr:rowOff>
              </from>
              <to>
                <xdr:col>12</xdr:col>
                <xdr:colOff>9525</xdr:colOff>
                <xdr:row>18</xdr:row>
                <xdr:rowOff>28575</xdr:rowOff>
              </to>
            </anchor>
          </controlPr>
        </control>
      </mc:Choice>
      <mc:Fallback>
        <control shapeId="1028" r:id="rId24" name="Prin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8"/>
  <sheetViews>
    <sheetView workbookViewId="0">
      <selection activeCell="B7" sqref="B7"/>
    </sheetView>
  </sheetViews>
  <sheetFormatPr defaultColWidth="9" defaultRowHeight="14.25"/>
  <cols>
    <col min="1" max="1" width="5.28515625" style="8" customWidth="1"/>
    <col min="2" max="2" width="28.7109375" style="7" customWidth="1"/>
    <col min="3" max="3" width="12.28515625" style="9" customWidth="1"/>
    <col min="4" max="4" width="7.42578125" style="9" customWidth="1"/>
    <col min="5" max="5" width="10.28515625" style="9" customWidth="1"/>
    <col min="6" max="6" width="10.28515625" style="10" customWidth="1"/>
    <col min="7" max="7" width="11.140625" style="11" customWidth="1"/>
    <col min="8" max="8" width="11.85546875" style="9" customWidth="1"/>
    <col min="9" max="9" width="12.5703125" style="12" customWidth="1"/>
    <col min="10" max="10" width="11.28515625" style="13" customWidth="1"/>
    <col min="11" max="11" width="24.5703125" style="13" customWidth="1"/>
    <col min="12" max="12" width="11.7109375" style="14" customWidth="1"/>
    <col min="13" max="13" width="17.28515625" style="14" customWidth="1"/>
    <col min="14" max="16384" width="9" style="9"/>
  </cols>
  <sheetData>
    <row r="1" spans="1:14" ht="28.5" customHeight="1">
      <c r="A1" s="64" t="str">
        <f>$K$4&amp;" "&amp;M3&amp;"采购单"</f>
        <v>上海渭源餐饮管理公司 荤菜类采购单</v>
      </c>
      <c r="B1" s="64" t="s">
        <v>0</v>
      </c>
      <c r="C1" s="64" t="s">
        <v>0</v>
      </c>
      <c r="D1" s="64" t="s">
        <v>0</v>
      </c>
      <c r="E1" s="64" t="s">
        <v>0</v>
      </c>
      <c r="F1" s="64" t="s">
        <v>0</v>
      </c>
      <c r="G1" s="64" t="s">
        <v>0</v>
      </c>
      <c r="H1" s="64" t="s">
        <v>0</v>
      </c>
      <c r="I1" s="36"/>
      <c r="J1" s="61" t="s">
        <v>602</v>
      </c>
      <c r="K1" s="61"/>
      <c r="L1" s="61"/>
      <c r="M1" s="61"/>
      <c r="N1" s="37"/>
    </row>
    <row r="2" spans="1:14" ht="14.25" customHeight="1">
      <c r="A2" s="64"/>
      <c r="B2" s="64"/>
      <c r="C2" s="64"/>
      <c r="D2" s="64"/>
      <c r="E2" s="64"/>
      <c r="F2" s="64"/>
      <c r="G2" s="64"/>
      <c r="H2" s="64"/>
      <c r="I2" s="38"/>
      <c r="J2" s="42" t="s">
        <v>1</v>
      </c>
      <c r="K2" s="49"/>
      <c r="L2" s="39" t="s">
        <v>2</v>
      </c>
      <c r="M2" s="40">
        <v>43618</v>
      </c>
    </row>
    <row r="3" spans="1:14" ht="15" customHeight="1">
      <c r="A3" s="62" t="str">
        <f>"编号:FH-"&amp;TEXT($M$2,"yyymmdd")&amp;TEXT(M6,"000000")</f>
        <v>编号:FH-20190602220554</v>
      </c>
      <c r="B3" s="62"/>
      <c r="C3" s="63" t="str">
        <f>"录单日期:"&amp;TEXT($M$2,"yyyy-mm-dd")</f>
        <v>录单日期:2019-06-02</v>
      </c>
      <c r="D3" s="63"/>
      <c r="E3" s="63"/>
      <c r="F3" s="63" t="str">
        <f>$L$7&amp;$M$7</f>
        <v>税号:</v>
      </c>
      <c r="G3" s="63"/>
      <c r="H3" s="63"/>
      <c r="I3" s="36"/>
      <c r="J3" s="42" t="s">
        <v>3</v>
      </c>
      <c r="K3" s="43" t="s">
        <v>4</v>
      </c>
      <c r="L3" s="39" t="s">
        <v>5</v>
      </c>
      <c r="M3" s="41" t="s">
        <v>34</v>
      </c>
    </row>
    <row r="4" spans="1:14" ht="15" customHeight="1">
      <c r="A4" s="63" t="str">
        <f>$J$4&amp;$K$4</f>
        <v>采购商:上海渭源餐饮管理公司</v>
      </c>
      <c r="B4" s="63"/>
      <c r="C4" s="63" t="str">
        <f>$L$4&amp;$M$4</f>
        <v>收货人:</v>
      </c>
      <c r="D4" s="63"/>
      <c r="E4" s="63"/>
      <c r="F4" s="63" t="str">
        <f>$L$5&amp;$M$5</f>
        <v>收货电话:</v>
      </c>
      <c r="G4" s="63"/>
      <c r="H4" s="63"/>
      <c r="I4" s="36"/>
      <c r="J4" s="42" t="s">
        <v>7</v>
      </c>
      <c r="K4" s="43" t="s">
        <v>8</v>
      </c>
      <c r="L4" s="42" t="s">
        <v>9</v>
      </c>
      <c r="M4" s="43"/>
    </row>
    <row r="5" spans="1:14" ht="15" customHeight="1">
      <c r="A5" s="63" t="str">
        <f>$J$7&amp;$K$7</f>
        <v>供应商:上海丰欢农业科技有限公司</v>
      </c>
      <c r="B5" s="63"/>
      <c r="C5" s="63" t="str">
        <f>$J$5&amp;$K$5</f>
        <v>采购商地址:</v>
      </c>
      <c r="D5" s="63"/>
      <c r="E5" s="63"/>
      <c r="F5" s="63" t="s">
        <v>0</v>
      </c>
      <c r="G5" s="63"/>
      <c r="H5" s="63"/>
      <c r="I5" s="36"/>
      <c r="J5" s="42" t="s">
        <v>10</v>
      </c>
      <c r="K5" s="43"/>
      <c r="L5" s="42" t="s">
        <v>11</v>
      </c>
      <c r="M5" s="44"/>
    </row>
    <row r="6" spans="1:14" ht="6" customHeight="1">
      <c r="A6" s="65" t="s">
        <v>0</v>
      </c>
      <c r="B6" s="65" t="s">
        <v>0</v>
      </c>
      <c r="C6" s="65" t="s">
        <v>0</v>
      </c>
      <c r="D6" s="65" t="s">
        <v>0</v>
      </c>
      <c r="E6" s="65" t="s">
        <v>0</v>
      </c>
      <c r="F6" s="65" t="s">
        <v>0</v>
      </c>
      <c r="G6" s="65" t="s">
        <v>0</v>
      </c>
      <c r="H6" s="65" t="s">
        <v>0</v>
      </c>
      <c r="I6" s="36"/>
      <c r="J6" s="42"/>
      <c r="K6" s="45"/>
      <c r="L6" s="39" t="s">
        <v>12</v>
      </c>
      <c r="M6" s="46" t="s">
        <v>605</v>
      </c>
    </row>
    <row r="7" spans="1:14" s="7" customFormat="1" ht="15.95" customHeight="1">
      <c r="A7" s="15" t="s">
        <v>13</v>
      </c>
      <c r="B7" s="16" t="s">
        <v>14</v>
      </c>
      <c r="C7" s="16" t="s">
        <v>15</v>
      </c>
      <c r="D7" s="16" t="s">
        <v>16</v>
      </c>
      <c r="E7" s="16" t="s">
        <v>17</v>
      </c>
      <c r="F7" s="17" t="s">
        <v>18</v>
      </c>
      <c r="G7" s="18" t="s">
        <v>19</v>
      </c>
      <c r="H7" s="16" t="s">
        <v>20</v>
      </c>
      <c r="I7" s="47" t="s">
        <v>21</v>
      </c>
      <c r="J7" s="42" t="s">
        <v>22</v>
      </c>
      <c r="K7" s="42" t="s">
        <v>23</v>
      </c>
      <c r="L7" s="42" t="s">
        <v>24</v>
      </c>
      <c r="M7" s="44"/>
    </row>
    <row r="8" spans="1:14" ht="15.95" customHeight="1">
      <c r="A8" s="19">
        <v>1</v>
      </c>
      <c r="B8" s="20"/>
      <c r="C8" s="21"/>
      <c r="D8" s="21"/>
      <c r="E8" s="22"/>
      <c r="F8" s="23"/>
      <c r="G8" s="24">
        <f t="shared" ref="G8:G19" si="0">E8*F8</f>
        <v>0</v>
      </c>
      <c r="H8" s="21"/>
      <c r="I8" s="36">
        <v>1</v>
      </c>
      <c r="J8" s="61" t="str">
        <f>"&lt;   当前打印页数:"&amp;IF(COUNTA(荤菜类!$B$27:$B$32)&gt;0,"共 2 页   &gt;","共 1 页   &gt;")</f>
        <v>&lt;   当前打印页数:共 1 页   &gt;</v>
      </c>
      <c r="K8" s="61"/>
      <c r="L8" s="61"/>
      <c r="M8" s="61"/>
    </row>
    <row r="9" spans="1:14" ht="15.95" customHeight="1">
      <c r="A9" s="19">
        <v>2</v>
      </c>
      <c r="B9" s="20"/>
      <c r="C9" s="21"/>
      <c r="D9" s="21"/>
      <c r="E9" s="22"/>
      <c r="F9" s="23"/>
      <c r="G9" s="24">
        <f t="shared" si="0"/>
        <v>0</v>
      </c>
      <c r="H9" s="21"/>
      <c r="I9" s="36">
        <v>2</v>
      </c>
      <c r="J9" s="61"/>
      <c r="K9" s="61"/>
      <c r="L9" s="61"/>
      <c r="M9" s="61"/>
    </row>
    <row r="10" spans="1:14" ht="15.95" customHeight="1">
      <c r="A10" s="19">
        <v>3</v>
      </c>
      <c r="B10" s="20"/>
      <c r="C10" s="21"/>
      <c r="D10" s="21"/>
      <c r="E10" s="22"/>
      <c r="F10" s="23"/>
      <c r="G10" s="24">
        <f t="shared" si="0"/>
        <v>0</v>
      </c>
      <c r="H10" s="21"/>
      <c r="I10" s="36">
        <v>3</v>
      </c>
      <c r="J10" s="61" t="str">
        <f>"&lt;   第一页有数据: "&amp;COUNTA(荤菜类!$B$8:$B$19)&amp;"/12 行   &gt;"</f>
        <v>&lt;   第一页有数据: 0/12 行   &gt;</v>
      </c>
      <c r="K10" s="61"/>
      <c r="L10" s="61"/>
      <c r="M10" s="61"/>
    </row>
    <row r="11" spans="1:14" ht="15.95" customHeight="1">
      <c r="A11" s="19">
        <v>4</v>
      </c>
      <c r="B11" s="20"/>
      <c r="C11" s="21"/>
      <c r="D11" s="21"/>
      <c r="E11" s="22"/>
      <c r="F11" s="23"/>
      <c r="G11" s="24">
        <f t="shared" si="0"/>
        <v>0</v>
      </c>
      <c r="H11" s="21"/>
      <c r="I11" s="36">
        <v>4</v>
      </c>
      <c r="J11" s="61"/>
      <c r="K11" s="61"/>
      <c r="L11" s="61"/>
      <c r="M11" s="61"/>
    </row>
    <row r="12" spans="1:14" ht="15.95" customHeight="1">
      <c r="A12" s="19">
        <v>5</v>
      </c>
      <c r="B12" s="20"/>
      <c r="C12" s="21"/>
      <c r="D12" s="21"/>
      <c r="E12" s="22"/>
      <c r="F12" s="23"/>
      <c r="G12" s="24">
        <f t="shared" si="0"/>
        <v>0</v>
      </c>
      <c r="H12" s="21"/>
      <c r="I12" s="36">
        <v>5</v>
      </c>
      <c r="J12" s="61" t="str">
        <f>"&lt;   第二页有数据: "&amp;COUNTA(荤菜类!$B$27:$B$38)&amp;"/12 行   &gt;"</f>
        <v>&lt;   第二页有数据: 0/12 行   &gt;</v>
      </c>
      <c r="K12" s="61"/>
      <c r="L12" s="61"/>
      <c r="M12" s="61"/>
    </row>
    <row r="13" spans="1:14" ht="15.95" customHeight="1">
      <c r="A13" s="19">
        <v>6</v>
      </c>
      <c r="B13" s="20"/>
      <c r="C13" s="21"/>
      <c r="D13" s="21"/>
      <c r="E13" s="22"/>
      <c r="F13" s="23"/>
      <c r="G13" s="24">
        <f t="shared" si="0"/>
        <v>0</v>
      </c>
      <c r="H13" s="21"/>
      <c r="I13" s="36">
        <v>6</v>
      </c>
      <c r="J13" s="61"/>
      <c r="K13" s="61"/>
      <c r="L13" s="61"/>
      <c r="M13" s="61"/>
    </row>
    <row r="14" spans="1:14" ht="15.95" customHeight="1">
      <c r="A14" s="19">
        <v>7</v>
      </c>
      <c r="B14" s="20"/>
      <c r="C14" s="21"/>
      <c r="D14" s="21"/>
      <c r="E14" s="22"/>
      <c r="F14" s="23"/>
      <c r="G14" s="24">
        <f t="shared" si="0"/>
        <v>0</v>
      </c>
      <c r="H14" s="21"/>
      <c r="I14" s="36">
        <v>7</v>
      </c>
      <c r="J14" s="61" t="str">
        <f>"&lt;  "&amp;F22&amp;"  &gt;"</f>
        <v>&lt;  实收总额:      元  &gt;</v>
      </c>
      <c r="K14" s="61"/>
      <c r="L14" s="61"/>
      <c r="M14" s="61"/>
    </row>
    <row r="15" spans="1:14" ht="15.95" customHeight="1">
      <c r="A15" s="19">
        <v>8</v>
      </c>
      <c r="B15" s="16"/>
      <c r="C15" s="21"/>
      <c r="D15" s="21"/>
      <c r="E15" s="22"/>
      <c r="F15" s="23"/>
      <c r="G15" s="24">
        <f t="shared" si="0"/>
        <v>0</v>
      </c>
      <c r="H15" s="21"/>
      <c r="I15" s="36">
        <v>8</v>
      </c>
      <c r="J15" s="61"/>
      <c r="K15" s="61"/>
      <c r="L15" s="61"/>
      <c r="M15" s="61"/>
    </row>
    <row r="16" spans="1:14" ht="15.95" customHeight="1">
      <c r="A16" s="19">
        <v>9</v>
      </c>
      <c r="B16" s="16"/>
      <c r="C16" s="21"/>
      <c r="D16" s="21"/>
      <c r="E16" s="22"/>
      <c r="F16" s="23"/>
      <c r="G16" s="24">
        <f t="shared" si="0"/>
        <v>0</v>
      </c>
      <c r="H16" s="21"/>
      <c r="I16" s="36">
        <v>9</v>
      </c>
      <c r="J16" s="66" t="str">
        <f>TEXT($M$2,"yyyymmdd")&amp;"-"&amp;$M$6</f>
        <v>20190602-220554</v>
      </c>
      <c r="K16" s="66"/>
      <c r="L16" s="48" t="s">
        <v>25</v>
      </c>
      <c r="M16" s="60" t="str">
        <f>IF(COUNTA(荤菜类!$B$27:$B$32)&gt;0,"2","1")</f>
        <v>1</v>
      </c>
    </row>
    <row r="17" spans="1:13" ht="15.95" customHeight="1">
      <c r="A17" s="19">
        <v>10</v>
      </c>
      <c r="B17" s="16"/>
      <c r="C17" s="21"/>
      <c r="D17" s="21"/>
      <c r="E17" s="22"/>
      <c r="F17" s="23"/>
      <c r="G17" s="24">
        <f t="shared" si="0"/>
        <v>0</v>
      </c>
      <c r="H17" s="21"/>
      <c r="I17" s="36">
        <v>10</v>
      </c>
      <c r="J17" s="49"/>
      <c r="K17" s="49"/>
      <c r="L17" s="50"/>
      <c r="M17" s="50"/>
    </row>
    <row r="18" spans="1:13" ht="15.95" customHeight="1">
      <c r="A18" s="19">
        <v>11</v>
      </c>
      <c r="B18" s="16"/>
      <c r="C18" s="21"/>
      <c r="D18" s="21"/>
      <c r="E18" s="22"/>
      <c r="F18" s="23"/>
      <c r="G18" s="24">
        <f t="shared" si="0"/>
        <v>0</v>
      </c>
      <c r="H18" s="21"/>
      <c r="I18" s="36">
        <v>11</v>
      </c>
      <c r="J18" s="49"/>
      <c r="K18" s="51" t="s">
        <v>26</v>
      </c>
      <c r="L18" s="50"/>
      <c r="M18" s="50"/>
    </row>
    <row r="19" spans="1:13" ht="15.95" customHeight="1">
      <c r="A19" s="19">
        <v>12</v>
      </c>
      <c r="B19" s="16"/>
      <c r="C19" s="21"/>
      <c r="D19" s="21"/>
      <c r="E19" s="22"/>
      <c r="F19" s="23"/>
      <c r="G19" s="24">
        <f t="shared" si="0"/>
        <v>0</v>
      </c>
      <c r="H19" s="21"/>
      <c r="I19" s="36">
        <v>12</v>
      </c>
      <c r="J19" s="49"/>
      <c r="K19" s="49"/>
      <c r="L19" s="50"/>
      <c r="M19" s="50"/>
    </row>
    <row r="20" spans="1:13" ht="15.95" customHeight="1">
      <c r="A20" s="19"/>
      <c r="B20" s="25" t="s">
        <v>27</v>
      </c>
      <c r="C20" s="26"/>
      <c r="D20" s="26"/>
      <c r="E20" s="27">
        <f>SUM($E$8:$E$19)</f>
        <v>0</v>
      </c>
      <c r="F20" s="28"/>
      <c r="G20" s="24">
        <f>SUM(G8:G19)</f>
        <v>0</v>
      </c>
      <c r="H20" s="26" t="s">
        <v>0</v>
      </c>
      <c r="I20" s="36"/>
      <c r="J20" s="49"/>
      <c r="K20" s="49"/>
      <c r="L20" s="50"/>
      <c r="M20" s="50"/>
    </row>
    <row r="21" spans="1:13" ht="8.1" customHeight="1">
      <c r="A21" s="73" t="s">
        <v>0</v>
      </c>
      <c r="B21" s="73"/>
      <c r="C21" s="73" t="s">
        <v>0</v>
      </c>
      <c r="D21" s="73" t="s">
        <v>0</v>
      </c>
      <c r="E21" s="73" t="s">
        <v>0</v>
      </c>
      <c r="F21" s="73" t="s">
        <v>0</v>
      </c>
      <c r="G21" s="73" t="s">
        <v>0</v>
      </c>
      <c r="H21" s="73" t="s">
        <v>0</v>
      </c>
      <c r="I21" s="36"/>
      <c r="J21" s="49"/>
      <c r="K21" s="49"/>
      <c r="L21" s="50"/>
      <c r="M21" s="50"/>
    </row>
    <row r="22" spans="1:13" ht="18" customHeight="1">
      <c r="A22" s="67" t="str">
        <f>$J$3&amp;$K$3</f>
        <v>制单人:齐凤云(13817497731)</v>
      </c>
      <c r="B22" s="67"/>
      <c r="C22" s="67" t="str">
        <f>"本页实收金额: "&amp;TEXT(SUMPRODUCT($E$8:$E$19,$F$8:$F$19),"0.00")&amp;" 元"</f>
        <v>本页实收金额: 0.00 元</v>
      </c>
      <c r="D22" s="67"/>
      <c r="E22" s="67"/>
      <c r="F22" s="67" t="str">
        <f>"实收总额: "&amp;TEXT(IF(G20+G39=0,"    ",G20+G39),"0.00")&amp;" 元"</f>
        <v>实收总额:      元</v>
      </c>
      <c r="G22" s="67"/>
      <c r="H22" s="67"/>
      <c r="I22" s="36"/>
      <c r="J22" s="69" t="s">
        <v>28</v>
      </c>
      <c r="K22" s="69"/>
      <c r="L22" s="69"/>
      <c r="M22" s="69"/>
    </row>
    <row r="23" spans="1:13" ht="18" customHeight="1">
      <c r="A23" s="67" t="s">
        <v>29</v>
      </c>
      <c r="B23" s="67"/>
      <c r="C23" s="67" t="s">
        <v>30</v>
      </c>
      <c r="D23" s="67"/>
      <c r="E23" s="67"/>
      <c r="F23" s="67"/>
      <c r="G23" s="67"/>
      <c r="H23" s="67"/>
      <c r="I23" s="36"/>
      <c r="J23" s="69"/>
      <c r="K23" s="69"/>
      <c r="L23" s="69"/>
      <c r="M23" s="69"/>
    </row>
    <row r="24" spans="1:13" ht="18" customHeight="1">
      <c r="A24" s="68" t="s">
        <v>31</v>
      </c>
      <c r="B24" s="68"/>
      <c r="C24" s="68" t="s">
        <v>0</v>
      </c>
      <c r="D24" s="68" t="s">
        <v>0</v>
      </c>
      <c r="E24" s="68" t="s">
        <v>0</v>
      </c>
      <c r="F24" s="68" t="s">
        <v>0</v>
      </c>
      <c r="G24" s="68" t="s">
        <v>0</v>
      </c>
      <c r="H24" s="68" t="s">
        <v>0</v>
      </c>
      <c r="I24" s="36"/>
      <c r="J24" s="70"/>
      <c r="K24" s="71"/>
      <c r="L24" s="71"/>
      <c r="M24" s="71"/>
    </row>
    <row r="25" spans="1:13" ht="8.1" customHeight="1">
      <c r="A25" s="72"/>
      <c r="B25" s="72"/>
      <c r="C25" s="72"/>
      <c r="D25" s="72"/>
      <c r="E25" s="72"/>
      <c r="F25" s="72"/>
      <c r="G25" s="72"/>
      <c r="H25" s="72"/>
      <c r="I25" s="36"/>
      <c r="J25" s="71"/>
      <c r="K25" s="71"/>
      <c r="L25" s="71"/>
      <c r="M25" s="71"/>
    </row>
    <row r="26" spans="1:13" ht="15.95" customHeight="1">
      <c r="A26" s="15" t="s">
        <v>13</v>
      </c>
      <c r="B26" s="16" t="s">
        <v>14</v>
      </c>
      <c r="C26" s="16" t="s">
        <v>15</v>
      </c>
      <c r="D26" s="16" t="s">
        <v>16</v>
      </c>
      <c r="E26" s="16" t="s">
        <v>17</v>
      </c>
      <c r="F26" s="17" t="s">
        <v>18</v>
      </c>
      <c r="G26" s="18" t="s">
        <v>19</v>
      </c>
      <c r="H26" s="16" t="s">
        <v>20</v>
      </c>
      <c r="I26" s="36"/>
      <c r="J26" s="52"/>
      <c r="K26" s="52"/>
      <c r="L26" s="53"/>
      <c r="M26" s="53"/>
    </row>
    <row r="27" spans="1:13" ht="15.95" customHeight="1">
      <c r="A27" s="19">
        <v>13</v>
      </c>
      <c r="B27" s="16"/>
      <c r="C27" s="21"/>
      <c r="D27" s="21"/>
      <c r="E27" s="22"/>
      <c r="F27" s="29"/>
      <c r="G27" s="24">
        <f>E27*F27</f>
        <v>0</v>
      </c>
      <c r="H27" s="21"/>
      <c r="I27" s="36">
        <v>1</v>
      </c>
      <c r="J27" s="52"/>
      <c r="K27" s="52"/>
      <c r="L27" s="53"/>
      <c r="M27" s="53"/>
    </row>
    <row r="28" spans="1:13" ht="15.95" customHeight="1">
      <c r="A28" s="19">
        <v>14</v>
      </c>
      <c r="B28" s="16"/>
      <c r="C28" s="21"/>
      <c r="D28" s="21"/>
      <c r="E28" s="22"/>
      <c r="F28" s="29"/>
      <c r="G28" s="24">
        <f t="shared" ref="G28:G38" si="1">E28*F28</f>
        <v>0</v>
      </c>
      <c r="H28" s="21"/>
      <c r="I28" s="36">
        <v>2</v>
      </c>
      <c r="J28" s="52"/>
      <c r="K28" s="52"/>
      <c r="L28" s="53"/>
      <c r="M28" s="53"/>
    </row>
    <row r="29" spans="1:13" ht="15.95" customHeight="1">
      <c r="A29" s="19">
        <v>15</v>
      </c>
      <c r="B29" s="16"/>
      <c r="C29" s="21"/>
      <c r="D29" s="21"/>
      <c r="E29" s="22"/>
      <c r="F29" s="29"/>
      <c r="G29" s="24">
        <f t="shared" si="1"/>
        <v>0</v>
      </c>
      <c r="H29" s="21"/>
      <c r="I29" s="36">
        <v>3</v>
      </c>
      <c r="J29" s="52"/>
      <c r="K29" s="52"/>
      <c r="L29" s="53"/>
      <c r="M29" s="53"/>
    </row>
    <row r="30" spans="1:13" ht="15.95" customHeight="1">
      <c r="A30" s="19">
        <v>16</v>
      </c>
      <c r="B30" s="16"/>
      <c r="C30" s="21"/>
      <c r="D30" s="21"/>
      <c r="E30" s="22"/>
      <c r="F30" s="29"/>
      <c r="G30" s="24">
        <f t="shared" si="1"/>
        <v>0</v>
      </c>
      <c r="H30" s="21"/>
      <c r="I30" s="36">
        <v>4</v>
      </c>
      <c r="J30" s="52"/>
      <c r="K30" s="52"/>
      <c r="L30" s="53"/>
      <c r="M30" s="53"/>
    </row>
    <row r="31" spans="1:13" ht="15.95" customHeight="1">
      <c r="A31" s="19">
        <v>17</v>
      </c>
      <c r="B31" s="16"/>
      <c r="C31" s="21"/>
      <c r="D31" s="21"/>
      <c r="E31" s="22"/>
      <c r="F31" s="29"/>
      <c r="G31" s="24">
        <f t="shared" si="1"/>
        <v>0</v>
      </c>
      <c r="H31" s="21"/>
      <c r="I31" s="36">
        <v>5</v>
      </c>
      <c r="J31" s="52"/>
      <c r="K31" s="52"/>
      <c r="L31" s="53"/>
      <c r="M31" s="53"/>
    </row>
    <row r="32" spans="1:13" ht="15.95" customHeight="1">
      <c r="A32" s="19">
        <v>18</v>
      </c>
      <c r="B32" s="16"/>
      <c r="C32" s="21"/>
      <c r="D32" s="21"/>
      <c r="E32" s="22"/>
      <c r="F32" s="29"/>
      <c r="G32" s="24">
        <f t="shared" si="1"/>
        <v>0</v>
      </c>
      <c r="H32" s="21"/>
      <c r="I32" s="36">
        <v>6</v>
      </c>
      <c r="J32" s="52"/>
      <c r="K32" s="52"/>
      <c r="L32" s="53"/>
      <c r="M32" s="53"/>
    </row>
    <row r="33" spans="1:13" ht="15.95" customHeight="1">
      <c r="A33" s="19">
        <v>19</v>
      </c>
      <c r="B33" s="16"/>
      <c r="C33" s="21"/>
      <c r="D33" s="21"/>
      <c r="E33" s="22"/>
      <c r="F33" s="29"/>
      <c r="G33" s="24">
        <f t="shared" si="1"/>
        <v>0</v>
      </c>
      <c r="H33" s="21"/>
      <c r="I33" s="36">
        <v>7</v>
      </c>
      <c r="J33" s="52"/>
      <c r="K33" s="52"/>
      <c r="L33" s="53"/>
      <c r="M33" s="53"/>
    </row>
    <row r="34" spans="1:13" ht="15.95" customHeight="1">
      <c r="A34" s="19">
        <v>20</v>
      </c>
      <c r="B34" s="16"/>
      <c r="C34" s="21"/>
      <c r="D34" s="21"/>
      <c r="E34" s="22"/>
      <c r="F34" s="29"/>
      <c r="G34" s="24">
        <f t="shared" si="1"/>
        <v>0</v>
      </c>
      <c r="H34" s="21"/>
      <c r="I34" s="36">
        <v>8</v>
      </c>
      <c r="J34" s="52"/>
      <c r="K34" s="52"/>
      <c r="L34" s="53"/>
      <c r="M34" s="53"/>
    </row>
    <row r="35" spans="1:13" ht="15.95" customHeight="1">
      <c r="A35" s="19">
        <v>21</v>
      </c>
      <c r="B35" s="16"/>
      <c r="C35" s="21"/>
      <c r="D35" s="21"/>
      <c r="E35" s="22"/>
      <c r="F35" s="29"/>
      <c r="G35" s="24">
        <f t="shared" si="1"/>
        <v>0</v>
      </c>
      <c r="H35" s="21"/>
      <c r="I35" s="36">
        <v>9</v>
      </c>
      <c r="J35" s="52"/>
      <c r="K35" s="52"/>
      <c r="L35" s="53"/>
      <c r="M35" s="53"/>
    </row>
    <row r="36" spans="1:13" ht="15.95" customHeight="1">
      <c r="A36" s="19">
        <v>22</v>
      </c>
      <c r="B36" s="16"/>
      <c r="C36" s="21"/>
      <c r="D36" s="21"/>
      <c r="E36" s="22"/>
      <c r="F36" s="29"/>
      <c r="G36" s="24">
        <f t="shared" si="1"/>
        <v>0</v>
      </c>
      <c r="H36" s="21"/>
      <c r="I36" s="36">
        <v>10</v>
      </c>
      <c r="J36" s="52"/>
      <c r="K36" s="52"/>
      <c r="L36" s="53"/>
      <c r="M36" s="53"/>
    </row>
    <row r="37" spans="1:13" ht="15.95" customHeight="1">
      <c r="A37" s="19">
        <v>23</v>
      </c>
      <c r="B37" s="16"/>
      <c r="C37" s="21"/>
      <c r="D37" s="21"/>
      <c r="E37" s="22"/>
      <c r="F37" s="29"/>
      <c r="G37" s="24">
        <f t="shared" si="1"/>
        <v>0</v>
      </c>
      <c r="H37" s="21"/>
      <c r="I37" s="36">
        <v>11</v>
      </c>
      <c r="J37" s="52"/>
      <c r="K37" s="52"/>
      <c r="L37" s="53"/>
      <c r="M37" s="53"/>
    </row>
    <row r="38" spans="1:13" ht="15.95" customHeight="1">
      <c r="A38" s="19">
        <v>24</v>
      </c>
      <c r="B38" s="16"/>
      <c r="C38" s="21"/>
      <c r="D38" s="21"/>
      <c r="E38" s="22"/>
      <c r="F38" s="29"/>
      <c r="G38" s="24">
        <f t="shared" si="1"/>
        <v>0</v>
      </c>
      <c r="H38" s="21"/>
      <c r="I38" s="36">
        <v>12</v>
      </c>
      <c r="J38" s="52"/>
      <c r="K38" s="52"/>
      <c r="L38" s="53"/>
      <c r="M38" s="53"/>
    </row>
    <row r="39" spans="1:13" ht="15.95" customHeight="1">
      <c r="A39" s="19"/>
      <c r="B39" s="25" t="str">
        <f>"本页合计"</f>
        <v>本页合计</v>
      </c>
      <c r="C39" s="25"/>
      <c r="D39" s="25"/>
      <c r="E39" s="27">
        <f>SUM($E$27:$E$38)</f>
        <v>0</v>
      </c>
      <c r="F39" s="30"/>
      <c r="G39" s="24">
        <f>SUM(G27:G38)</f>
        <v>0</v>
      </c>
      <c r="H39" s="26" t="s">
        <v>0</v>
      </c>
      <c r="I39" s="36"/>
      <c r="J39" s="52"/>
      <c r="K39" s="52"/>
      <c r="L39" s="53"/>
      <c r="M39" s="53"/>
    </row>
    <row r="40" spans="1:13" ht="8.1" customHeight="1">
      <c r="A40" s="73" t="s">
        <v>0</v>
      </c>
      <c r="B40" s="73" t="s">
        <v>0</v>
      </c>
      <c r="C40" s="73" t="s">
        <v>0</v>
      </c>
      <c r="D40" s="73" t="s">
        <v>0</v>
      </c>
      <c r="E40" s="73" t="s">
        <v>0</v>
      </c>
      <c r="F40" s="73" t="s">
        <v>0</v>
      </c>
      <c r="G40" s="73" t="s">
        <v>0</v>
      </c>
      <c r="H40" s="73" t="s">
        <v>0</v>
      </c>
      <c r="I40" s="36"/>
      <c r="J40" s="52"/>
      <c r="K40" s="52"/>
      <c r="L40" s="53"/>
      <c r="M40" s="53"/>
    </row>
    <row r="41" spans="1:13" ht="18" customHeight="1">
      <c r="A41" s="67" t="str">
        <f>$A$22</f>
        <v>制单人:齐凤云(13817497731)</v>
      </c>
      <c r="B41" s="67" t="s">
        <v>0</v>
      </c>
      <c r="C41" s="67" t="str">
        <f>"本页实收金额: "&amp;TEXT(SUMPRODUCT($E$27:$E$38,$F$27:$F$38),"0.00")&amp;" 元"</f>
        <v>本页实收金额: 0.00 元</v>
      </c>
      <c r="D41" s="67"/>
      <c r="E41" s="67"/>
      <c r="F41" s="67" t="str">
        <f>$F$22</f>
        <v>实收总额:      元</v>
      </c>
      <c r="G41" s="67"/>
      <c r="H41" s="67"/>
      <c r="I41" s="36"/>
      <c r="J41" s="52"/>
      <c r="K41" s="52"/>
      <c r="L41" s="53"/>
      <c r="M41" s="53"/>
    </row>
    <row r="42" spans="1:13" ht="18" customHeight="1">
      <c r="A42" s="67" t="s">
        <v>29</v>
      </c>
      <c r="B42" s="67"/>
      <c r="C42" s="67" t="s">
        <v>30</v>
      </c>
      <c r="D42" s="67"/>
      <c r="E42" s="67"/>
      <c r="F42" s="67"/>
      <c r="G42" s="67"/>
      <c r="H42" s="67"/>
      <c r="I42" s="36"/>
      <c r="J42" s="52"/>
      <c r="K42" s="52"/>
      <c r="L42" s="53"/>
      <c r="M42" s="53"/>
    </row>
    <row r="43" spans="1:13" ht="18" customHeight="1">
      <c r="A43" s="68" t="str">
        <f>"谢谢您的惠顾，我们会竭诚为您提供最好的商品和服务。"</f>
        <v>谢谢您的惠顾，我们会竭诚为您提供最好的商品和服务。</v>
      </c>
      <c r="B43" s="68" t="s">
        <v>0</v>
      </c>
      <c r="C43" s="68" t="s">
        <v>0</v>
      </c>
      <c r="D43" s="68" t="s">
        <v>0</v>
      </c>
      <c r="E43" s="68" t="s">
        <v>0</v>
      </c>
      <c r="F43" s="68" t="s">
        <v>0</v>
      </c>
      <c r="G43" s="68" t="s">
        <v>0</v>
      </c>
      <c r="H43" s="68" t="s">
        <v>0</v>
      </c>
      <c r="I43" s="36"/>
      <c r="J43" s="52"/>
      <c r="K43" s="52"/>
      <c r="L43" s="53"/>
      <c r="M43" s="53"/>
    </row>
    <row r="44" spans="1:13" ht="8.1" customHeight="1">
      <c r="A44" s="31"/>
      <c r="B44" s="32"/>
      <c r="C44" s="33"/>
      <c r="D44" s="33"/>
      <c r="E44" s="33"/>
      <c r="F44" s="34"/>
      <c r="G44" s="35"/>
      <c r="H44" s="33"/>
      <c r="I44" s="36"/>
      <c r="J44" s="52"/>
      <c r="K44" s="52"/>
      <c r="L44" s="53"/>
      <c r="M44" s="53"/>
    </row>
    <row r="45" spans="1:13" ht="18" customHeight="1">
      <c r="A45" s="31"/>
      <c r="B45" s="32"/>
      <c r="C45" s="33"/>
      <c r="D45" s="33"/>
      <c r="E45" s="33"/>
      <c r="F45" s="34"/>
      <c r="G45" s="35"/>
      <c r="H45" s="33"/>
    </row>
    <row r="46" spans="1:13" ht="18" customHeight="1">
      <c r="A46" s="31"/>
      <c r="B46" s="32"/>
      <c r="C46" s="33"/>
      <c r="D46" s="33"/>
      <c r="E46" s="33"/>
      <c r="F46" s="34"/>
      <c r="G46" s="35"/>
      <c r="H46" s="33"/>
    </row>
    <row r="47" spans="1:13" ht="15" customHeight="1">
      <c r="A47" s="31"/>
      <c r="B47" s="32"/>
      <c r="C47" s="33"/>
      <c r="D47" s="33"/>
      <c r="E47" s="33"/>
      <c r="F47" s="34"/>
      <c r="G47" s="35"/>
      <c r="H47" s="33"/>
    </row>
    <row r="48" spans="1:13" ht="18" customHeight="1">
      <c r="A48" s="31"/>
      <c r="B48" s="32"/>
      <c r="C48" s="33"/>
      <c r="D48" s="33"/>
      <c r="E48" s="33"/>
      <c r="F48" s="34"/>
      <c r="G48" s="35"/>
      <c r="H48" s="33"/>
    </row>
    <row r="49" spans="1:8" ht="15" customHeight="1">
      <c r="A49" s="31"/>
      <c r="B49" s="32"/>
      <c r="C49" s="33"/>
      <c r="D49" s="33"/>
      <c r="E49" s="33"/>
      <c r="F49" s="34"/>
      <c r="G49" s="35"/>
      <c r="H49" s="33"/>
    </row>
    <row r="50" spans="1:8">
      <c r="A50" s="31"/>
      <c r="B50" s="32"/>
      <c r="C50" s="33"/>
      <c r="D50" s="33"/>
      <c r="E50" s="33"/>
      <c r="F50" s="34"/>
      <c r="G50" s="35"/>
      <c r="H50" s="33"/>
    </row>
    <row r="51" spans="1:8">
      <c r="A51" s="31"/>
      <c r="B51" s="32"/>
      <c r="C51" s="33"/>
      <c r="D51" s="33"/>
      <c r="E51" s="33"/>
      <c r="F51" s="34"/>
      <c r="G51" s="35"/>
      <c r="H51" s="33"/>
    </row>
    <row r="52" spans="1:8">
      <c r="A52" s="31"/>
      <c r="B52" s="32"/>
      <c r="C52" s="33"/>
      <c r="D52" s="33"/>
      <c r="E52" s="33"/>
      <c r="F52" s="34"/>
      <c r="G52" s="35"/>
      <c r="H52" s="33"/>
    </row>
    <row r="53" spans="1:8">
      <c r="A53" s="31"/>
      <c r="B53" s="32"/>
      <c r="C53" s="33"/>
      <c r="D53" s="33"/>
      <c r="E53" s="33"/>
      <c r="F53" s="34"/>
      <c r="G53" s="35"/>
      <c r="H53" s="33"/>
    </row>
    <row r="54" spans="1:8">
      <c r="A54" s="31"/>
      <c r="B54" s="32"/>
      <c r="C54" s="33"/>
      <c r="D54" s="33"/>
      <c r="E54" s="33"/>
      <c r="F54" s="34"/>
      <c r="G54" s="35"/>
      <c r="H54" s="33"/>
    </row>
    <row r="55" spans="1:8">
      <c r="A55" s="31"/>
      <c r="B55" s="32"/>
      <c r="C55" s="33"/>
      <c r="D55" s="33"/>
      <c r="E55" s="33"/>
      <c r="F55" s="34"/>
      <c r="G55" s="35"/>
      <c r="H55" s="33"/>
    </row>
    <row r="56" spans="1:8">
      <c r="A56" s="31"/>
      <c r="B56" s="32"/>
      <c r="C56" s="33"/>
      <c r="D56" s="33"/>
      <c r="E56" s="33"/>
      <c r="F56" s="34"/>
      <c r="G56" s="35"/>
      <c r="H56" s="33"/>
    </row>
    <row r="57" spans="1:8">
      <c r="A57" s="31"/>
      <c r="B57" s="32"/>
      <c r="C57" s="33"/>
      <c r="D57" s="33"/>
      <c r="E57" s="33"/>
      <c r="F57" s="34"/>
      <c r="G57" s="35"/>
      <c r="H57" s="33"/>
    </row>
    <row r="58" spans="1:8">
      <c r="A58" s="31"/>
      <c r="B58" s="32"/>
      <c r="C58" s="33"/>
      <c r="D58" s="33"/>
      <c r="E58" s="33"/>
      <c r="F58" s="34"/>
      <c r="G58" s="35"/>
      <c r="H58" s="33"/>
    </row>
    <row r="59" spans="1:8">
      <c r="A59" s="31"/>
      <c r="B59" s="32"/>
      <c r="C59" s="33"/>
      <c r="D59" s="33"/>
      <c r="E59" s="33"/>
      <c r="F59" s="34"/>
      <c r="G59" s="35"/>
      <c r="H59" s="33"/>
    </row>
    <row r="60" spans="1:8">
      <c r="A60" s="31"/>
      <c r="B60" s="32"/>
      <c r="C60" s="33"/>
      <c r="D60" s="33"/>
      <c r="E60" s="33"/>
      <c r="F60" s="34"/>
      <c r="G60" s="35"/>
      <c r="H60" s="33"/>
    </row>
    <row r="61" spans="1:8">
      <c r="A61" s="31"/>
      <c r="B61" s="32"/>
      <c r="C61" s="33"/>
      <c r="D61" s="33"/>
      <c r="E61" s="33"/>
      <c r="F61" s="34"/>
      <c r="G61" s="35"/>
      <c r="H61" s="33"/>
    </row>
    <row r="62" spans="1:8">
      <c r="A62" s="31"/>
      <c r="B62" s="32"/>
      <c r="C62" s="33"/>
      <c r="D62" s="33"/>
      <c r="E62" s="33"/>
      <c r="F62" s="34"/>
      <c r="G62" s="35"/>
      <c r="H62" s="33"/>
    </row>
    <row r="63" spans="1:8">
      <c r="A63" s="31"/>
      <c r="B63" s="32"/>
      <c r="C63" s="33"/>
      <c r="D63" s="33"/>
      <c r="E63" s="33"/>
      <c r="F63" s="34"/>
      <c r="G63" s="35"/>
      <c r="H63" s="33"/>
    </row>
    <row r="64" spans="1:8">
      <c r="A64" s="31"/>
      <c r="B64" s="32"/>
      <c r="C64" s="33"/>
      <c r="D64" s="33"/>
      <c r="E64" s="33"/>
      <c r="F64" s="34"/>
      <c r="G64" s="35"/>
      <c r="H64" s="33"/>
    </row>
    <row r="65" spans="1:8">
      <c r="A65" s="31"/>
      <c r="B65" s="32"/>
      <c r="C65" s="33"/>
      <c r="D65" s="33"/>
      <c r="E65" s="33"/>
      <c r="F65" s="34"/>
      <c r="G65" s="35"/>
      <c r="H65" s="33"/>
    </row>
    <row r="66" spans="1:8">
      <c r="A66" s="31"/>
      <c r="B66" s="32"/>
      <c r="C66" s="33"/>
      <c r="D66" s="33"/>
      <c r="E66" s="33"/>
      <c r="F66" s="34"/>
      <c r="G66" s="35"/>
      <c r="H66" s="33"/>
    </row>
    <row r="67" spans="1:8">
      <c r="A67" s="31"/>
      <c r="B67" s="32"/>
      <c r="C67" s="33"/>
      <c r="D67" s="33"/>
      <c r="E67" s="33"/>
      <c r="F67" s="34"/>
      <c r="G67" s="35"/>
      <c r="H67" s="33"/>
    </row>
    <row r="68" spans="1:8">
      <c r="A68" s="31"/>
      <c r="B68" s="32"/>
      <c r="C68" s="33"/>
      <c r="D68" s="33"/>
      <c r="E68" s="33"/>
      <c r="F68" s="34"/>
      <c r="G68" s="35"/>
      <c r="H68" s="33"/>
    </row>
  </sheetData>
  <sheetProtection algorithmName="SHA-512" hashValue="Hq6h8hAV/Kv/vq3h2vlqHBt8HMG8rtV3Pw1upvh5LElUzrF4B2J9NgIdu56S3QJG4MoIDhYoOw2AU9eRK0aFXA==" saltValue="lLhaxXMeYNHpjlJ+h7bDKQ==" spinCount="100000" sheet="1" objects="1" scenarios="1" formatCells="0"/>
  <mergeCells count="36">
    <mergeCell ref="A42:B42"/>
    <mergeCell ref="C42:E42"/>
    <mergeCell ref="F42:H42"/>
    <mergeCell ref="A43:H43"/>
    <mergeCell ref="J10:M11"/>
    <mergeCell ref="J12:M13"/>
    <mergeCell ref="J14:M15"/>
    <mergeCell ref="J22:M23"/>
    <mergeCell ref="J24:M25"/>
    <mergeCell ref="A24:H24"/>
    <mergeCell ref="A25:H25"/>
    <mergeCell ref="A40:H40"/>
    <mergeCell ref="A41:B41"/>
    <mergeCell ref="C41:E41"/>
    <mergeCell ref="F41:H41"/>
    <mergeCell ref="A21:H21"/>
    <mergeCell ref="A22:B22"/>
    <mergeCell ref="C22:E22"/>
    <mergeCell ref="F22:H22"/>
    <mergeCell ref="A23:B23"/>
    <mergeCell ref="C23:E23"/>
    <mergeCell ref="F23:H23"/>
    <mergeCell ref="A5:B5"/>
    <mergeCell ref="C5:E5"/>
    <mergeCell ref="F5:H5"/>
    <mergeCell ref="A6:H6"/>
    <mergeCell ref="J16:K16"/>
    <mergeCell ref="J8:M9"/>
    <mergeCell ref="J1:M1"/>
    <mergeCell ref="A3:B3"/>
    <mergeCell ref="C3:E3"/>
    <mergeCell ref="F3:H3"/>
    <mergeCell ref="A4:B4"/>
    <mergeCell ref="C4:E4"/>
    <mergeCell ref="F4:H4"/>
    <mergeCell ref="A1:H2"/>
  </mergeCells>
  <phoneticPr fontId="27" type="noConversion"/>
  <dataValidations count="2">
    <dataValidation type="list" allowBlank="1" showInputMessage="1" sqref="M3">
      <formula1>"蔬菜类,荤菜类,调料类,水果类"</formula1>
    </dataValidation>
    <dataValidation type="list" allowBlank="1" showInputMessage="1" sqref="D8:D19 D27:D38">
      <formula1>"kg,g,斤,个,件,包,箱,桶,袋,吨,片,套,瓶,只,支,盒,条"</formula1>
    </dataValidation>
  </dataValidations>
  <printOptions horizontalCentered="1"/>
  <pageMargins left="0.196527777777778" right="0.196527777777778" top="0.118055555555556" bottom="0.118055555555556" header="0.31388888888888899" footer="0.31388888888888899"/>
  <pageSetup paperSize="8" fitToWidth="0" fitToHeight="0" orientation="portrait" horizontalDpi="1200" verticalDpi="1200"/>
  <headerFooter>
    <oddFooter>&amp;R&amp;"宋体,常规"第&amp;"Arial,常规" &amp;P &amp;"宋体,常规"页，共&amp;"Arial,常规" &amp;N &amp;"宋体,常规"页</oddFooter>
  </headerFooter>
  <rowBreaks count="1" manualBreakCount="1">
    <brk id="50" max="10" man="1"/>
  </rowBreaks>
  <colBreaks count="1" manualBreakCount="1">
    <brk id="8" max="1048575" man="1"/>
  </colBreaks>
  <drawing r:id="rId1"/>
  <legacyDrawing r:id="rId2"/>
  <controls>
    <mc:AlternateContent xmlns:mc="http://schemas.openxmlformats.org/markup-compatibility/2006">
      <mc:Choice Requires="x14">
        <control shapeId="4106" r:id="rId3" name="CommandButton1">
          <controlPr defaultSize="0" print="0" altText="" r:id="rId4">
            <anchor moveWithCells="1">
              <from>
                <xdr:col>10</xdr:col>
                <xdr:colOff>1552575</xdr:colOff>
                <xdr:row>18</xdr:row>
                <xdr:rowOff>114300</xdr:rowOff>
              </from>
              <to>
                <xdr:col>12</xdr:col>
                <xdr:colOff>28575</xdr:colOff>
                <xdr:row>21</xdr:row>
                <xdr:rowOff>9525</xdr:rowOff>
              </to>
            </anchor>
          </controlPr>
        </control>
      </mc:Choice>
      <mc:Fallback>
        <control shapeId="4106" r:id="rId3" name="CommandButton1"/>
      </mc:Fallback>
    </mc:AlternateContent>
    <mc:AlternateContent xmlns:mc="http://schemas.openxmlformats.org/markup-compatibility/2006">
      <mc:Choice Requires="x14">
        <control shapeId="4105" r:id="rId5" name="SaveMe">
          <controlPr defaultSize="0" altText="" r:id="rId6">
            <anchor moveWithCells="1">
              <from>
                <xdr:col>13</xdr:col>
                <xdr:colOff>28575</xdr:colOff>
                <xdr:row>0</xdr:row>
                <xdr:rowOff>9525</xdr:rowOff>
              </from>
              <to>
                <xdr:col>13</xdr:col>
                <xdr:colOff>285750</xdr:colOff>
                <xdr:row>0</xdr:row>
                <xdr:rowOff>161925</xdr:rowOff>
              </to>
            </anchor>
          </controlPr>
        </control>
      </mc:Choice>
      <mc:Fallback>
        <control shapeId="4105" r:id="rId5" name="SaveMe"/>
      </mc:Fallback>
    </mc:AlternateContent>
    <mc:AlternateContent xmlns:mc="http://schemas.openxmlformats.org/markup-compatibility/2006">
      <mc:Choice Requires="x14">
        <control shapeId="4104" r:id="rId7" name="HideSheet2">
          <controlPr defaultSize="0" print="0" altText="" r:id="rId8">
            <anchor moveWithCells="1">
              <from>
                <xdr:col>10</xdr:col>
                <xdr:colOff>371475</xdr:colOff>
                <xdr:row>18</xdr:row>
                <xdr:rowOff>114300</xdr:rowOff>
              </from>
              <to>
                <xdr:col>10</xdr:col>
                <xdr:colOff>1266825</xdr:colOff>
                <xdr:row>21</xdr:row>
                <xdr:rowOff>9525</xdr:rowOff>
              </to>
            </anchor>
          </controlPr>
        </control>
      </mc:Choice>
      <mc:Fallback>
        <control shapeId="4104" r:id="rId7" name="HideSheet2"/>
      </mc:Fallback>
    </mc:AlternateContent>
    <mc:AlternateContent xmlns:mc="http://schemas.openxmlformats.org/markup-compatibility/2006">
      <mc:Choice Requires="x14">
        <control shapeId="4103" r:id="rId9" name="ListBox1">
          <controlPr defaultSize="0" print="0" altText="" r:id="rId10">
            <anchor moveWithCells="1">
              <from>
                <xdr:col>13</xdr:col>
                <xdr:colOff>123825</xdr:colOff>
                <xdr:row>8</xdr:row>
                <xdr:rowOff>104775</xdr:rowOff>
              </from>
              <to>
                <xdr:col>17</xdr:col>
                <xdr:colOff>428625</xdr:colOff>
                <xdr:row>13</xdr:row>
                <xdr:rowOff>104775</xdr:rowOff>
              </to>
            </anchor>
          </controlPr>
        </control>
      </mc:Choice>
      <mc:Fallback>
        <control shapeId="4103" r:id="rId9" name="ListBox1"/>
      </mc:Fallback>
    </mc:AlternateContent>
    <mc:AlternateContent xmlns:mc="http://schemas.openxmlformats.org/markup-compatibility/2006">
      <mc:Choice Requires="x14">
        <control shapeId="4102" r:id="rId11" name="TextBox1">
          <controlPr defaultSize="0" print="0" altText="" linkedCell="B8" r:id="rId12">
            <anchor moveWithCells="1">
              <from>
                <xdr:col>13</xdr:col>
                <xdr:colOff>123825</xdr:colOff>
                <xdr:row>7</xdr:row>
                <xdr:rowOff>0</xdr:rowOff>
              </from>
              <to>
                <xdr:col>17</xdr:col>
                <xdr:colOff>428625</xdr:colOff>
                <xdr:row>8</xdr:row>
                <xdr:rowOff>104775</xdr:rowOff>
              </to>
            </anchor>
          </controlPr>
        </control>
      </mc:Choice>
      <mc:Fallback>
        <control shapeId="4102" r:id="rId11" name="TextBox1"/>
      </mc:Fallback>
    </mc:AlternateContent>
    <mc:AlternateContent xmlns:mc="http://schemas.openxmlformats.org/markup-compatibility/2006">
      <mc:Choice Requires="x14">
        <control shapeId="4101" r:id="rId13" name="OpenPath">
          <controlPr defaultSize="0" print="0" altText="" r:id="rId14">
            <anchor moveWithCells="1">
              <from>
                <xdr:col>9</xdr:col>
                <xdr:colOff>19050</xdr:colOff>
                <xdr:row>16</xdr:row>
                <xdr:rowOff>38100</xdr:rowOff>
              </from>
              <to>
                <xdr:col>10</xdr:col>
                <xdr:colOff>161925</xdr:colOff>
                <xdr:row>18</xdr:row>
                <xdr:rowOff>28575</xdr:rowOff>
              </to>
            </anchor>
          </controlPr>
        </control>
      </mc:Choice>
      <mc:Fallback>
        <control shapeId="4101" r:id="rId13" name="OpenPath"/>
      </mc:Fallback>
    </mc:AlternateContent>
    <mc:AlternateContent xmlns:mc="http://schemas.openxmlformats.org/markup-compatibility/2006">
      <mc:Choice Requires="x14">
        <control shapeId="4100" r:id="rId15" name="SaveAsXLSX">
          <controlPr defaultSize="0" print="0" altText="" r:id="rId16">
            <anchor moveWithCells="1">
              <from>
                <xdr:col>12</xdr:col>
                <xdr:colOff>219075</xdr:colOff>
                <xdr:row>16</xdr:row>
                <xdr:rowOff>28575</xdr:rowOff>
              </from>
              <to>
                <xdr:col>12</xdr:col>
                <xdr:colOff>1114425</xdr:colOff>
                <xdr:row>18</xdr:row>
                <xdr:rowOff>19050</xdr:rowOff>
              </to>
            </anchor>
          </controlPr>
        </control>
      </mc:Choice>
      <mc:Fallback>
        <control shapeId="4100" r:id="rId15" name="SaveAsXLSX"/>
      </mc:Fallback>
    </mc:AlternateContent>
    <mc:AlternateContent xmlns:mc="http://schemas.openxmlformats.org/markup-compatibility/2006">
      <mc:Choice Requires="x14">
        <control shapeId="4099" r:id="rId17" name="ClearButton">
          <controlPr defaultSize="0" print="0" altText="" r:id="rId18">
            <anchor moveWithCells="1">
              <from>
                <xdr:col>9</xdr:col>
                <xdr:colOff>19050</xdr:colOff>
                <xdr:row>18</xdr:row>
                <xdr:rowOff>114300</xdr:rowOff>
              </from>
              <to>
                <xdr:col>10</xdr:col>
                <xdr:colOff>161925</xdr:colOff>
                <xdr:row>21</xdr:row>
                <xdr:rowOff>9525</xdr:rowOff>
              </to>
            </anchor>
          </controlPr>
        </control>
      </mc:Choice>
      <mc:Fallback>
        <control shapeId="4099" r:id="rId17" name="ClearButton"/>
      </mc:Fallback>
    </mc:AlternateContent>
    <mc:AlternateContent xmlns:mc="http://schemas.openxmlformats.org/markup-compatibility/2006">
      <mc:Choice Requires="x14">
        <control shapeId="4098" r:id="rId19" name="PrintPDF">
          <controlPr defaultSize="0" print="0" altText="" r:id="rId20">
            <anchor moveWithCells="1">
              <from>
                <xdr:col>10</xdr:col>
                <xdr:colOff>361950</xdr:colOff>
                <xdr:row>16</xdr:row>
                <xdr:rowOff>38100</xdr:rowOff>
              </from>
              <to>
                <xdr:col>10</xdr:col>
                <xdr:colOff>1257300</xdr:colOff>
                <xdr:row>18</xdr:row>
                <xdr:rowOff>28575</xdr:rowOff>
              </to>
            </anchor>
          </controlPr>
        </control>
      </mc:Choice>
      <mc:Fallback>
        <control shapeId="4098" r:id="rId19" name="PrintPDF"/>
      </mc:Fallback>
    </mc:AlternateContent>
    <mc:AlternateContent xmlns:mc="http://schemas.openxmlformats.org/markup-compatibility/2006">
      <mc:Choice Requires="x14">
        <control shapeId="4097" r:id="rId21" name="PrintButton">
          <controlPr defaultSize="0" print="0" altText="" r:id="rId22">
            <anchor moveWithCells="1">
              <from>
                <xdr:col>10</xdr:col>
                <xdr:colOff>1533525</xdr:colOff>
                <xdr:row>16</xdr:row>
                <xdr:rowOff>38100</xdr:rowOff>
              </from>
              <to>
                <xdr:col>12</xdr:col>
                <xdr:colOff>9525</xdr:colOff>
                <xdr:row>18</xdr:row>
                <xdr:rowOff>28575</xdr:rowOff>
              </to>
            </anchor>
          </controlPr>
        </control>
      </mc:Choice>
      <mc:Fallback>
        <control shapeId="4097" r:id="rId21" name="Print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68"/>
  <sheetViews>
    <sheetView workbookViewId="0">
      <selection activeCell="B7" sqref="B7"/>
    </sheetView>
  </sheetViews>
  <sheetFormatPr defaultColWidth="9" defaultRowHeight="14.25"/>
  <cols>
    <col min="1" max="1" width="5.28515625" style="8" customWidth="1"/>
    <col min="2" max="2" width="28.7109375" style="7" customWidth="1"/>
    <col min="3" max="3" width="12.28515625" style="9" customWidth="1"/>
    <col min="4" max="4" width="7.42578125" style="9" customWidth="1"/>
    <col min="5" max="5" width="10.28515625" style="9" customWidth="1"/>
    <col min="6" max="6" width="10.28515625" style="10" customWidth="1"/>
    <col min="7" max="7" width="11.140625" style="11" customWidth="1"/>
    <col min="8" max="8" width="11.85546875" style="9" customWidth="1"/>
    <col min="9" max="9" width="12.5703125" style="12" customWidth="1"/>
    <col min="10" max="10" width="11.28515625" style="13" customWidth="1"/>
    <col min="11" max="11" width="24.5703125" style="13" customWidth="1"/>
    <col min="12" max="12" width="11.7109375" style="14" customWidth="1"/>
    <col min="13" max="13" width="17.28515625" style="14" customWidth="1"/>
    <col min="14" max="16384" width="9" style="9"/>
  </cols>
  <sheetData>
    <row r="1" spans="1:14" ht="28.5" customHeight="1">
      <c r="A1" s="64" t="str">
        <f>$K$4&amp;" "&amp;M3&amp;"采购单"</f>
        <v>上海渭源餐饮管理公司 蔬菜类采购单</v>
      </c>
      <c r="B1" s="64" t="s">
        <v>0</v>
      </c>
      <c r="C1" s="64" t="s">
        <v>0</v>
      </c>
      <c r="D1" s="64" t="s">
        <v>0</v>
      </c>
      <c r="E1" s="64" t="s">
        <v>0</v>
      </c>
      <c r="F1" s="64" t="s">
        <v>0</v>
      </c>
      <c r="G1" s="64" t="s">
        <v>0</v>
      </c>
      <c r="H1" s="64" t="s">
        <v>0</v>
      </c>
      <c r="I1" s="36"/>
      <c r="J1" s="61" t="s">
        <v>602</v>
      </c>
      <c r="K1" s="61"/>
      <c r="L1" s="61"/>
      <c r="M1" s="61"/>
      <c r="N1" s="37"/>
    </row>
    <row r="2" spans="1:14" ht="14.25" customHeight="1">
      <c r="A2" s="64"/>
      <c r="B2" s="64"/>
      <c r="C2" s="64"/>
      <c r="D2" s="64"/>
      <c r="E2" s="64"/>
      <c r="F2" s="64"/>
      <c r="G2" s="64"/>
      <c r="H2" s="64"/>
      <c r="I2" s="38"/>
      <c r="J2" s="42" t="s">
        <v>1</v>
      </c>
      <c r="K2" s="49"/>
      <c r="L2" s="39" t="s">
        <v>2</v>
      </c>
      <c r="M2" s="40">
        <v>43618</v>
      </c>
    </row>
    <row r="3" spans="1:14" ht="15" customHeight="1">
      <c r="A3" s="62" t="str">
        <f>"编号:FH-"&amp;TEXT($M$2,"yyymmdd")&amp;TEXT(M6,"000000")</f>
        <v>编号:FH-20190602220596</v>
      </c>
      <c r="B3" s="62"/>
      <c r="C3" s="63" t="str">
        <f>"录单日期:"&amp;TEXT($M$2,"yyyy-mm-dd")</f>
        <v>录单日期:2019-06-02</v>
      </c>
      <c r="D3" s="63"/>
      <c r="E3" s="63"/>
      <c r="F3" s="63" t="str">
        <f>$L$7&amp;$M$7</f>
        <v>税号:</v>
      </c>
      <c r="G3" s="63"/>
      <c r="H3" s="63"/>
      <c r="I3" s="36"/>
      <c r="J3" s="42" t="s">
        <v>3</v>
      </c>
      <c r="K3" s="43" t="s">
        <v>4</v>
      </c>
      <c r="L3" s="39" t="s">
        <v>5</v>
      </c>
      <c r="M3" s="41" t="s">
        <v>35</v>
      </c>
    </row>
    <row r="4" spans="1:14" ht="15" customHeight="1">
      <c r="A4" s="63" t="str">
        <f>$J$4&amp;$K$4</f>
        <v>采购商:上海渭源餐饮管理公司</v>
      </c>
      <c r="B4" s="63"/>
      <c r="C4" s="63" t="str">
        <f>$L$4&amp;$M$4</f>
        <v>收货人:</v>
      </c>
      <c r="D4" s="63"/>
      <c r="E4" s="63"/>
      <c r="F4" s="63" t="str">
        <f>$L$5&amp;$M$5</f>
        <v>收货电话:</v>
      </c>
      <c r="G4" s="63"/>
      <c r="H4" s="63"/>
      <c r="I4" s="36"/>
      <c r="J4" s="42" t="s">
        <v>7</v>
      </c>
      <c r="K4" s="43" t="s">
        <v>8</v>
      </c>
      <c r="L4" s="42" t="s">
        <v>9</v>
      </c>
      <c r="M4" s="43"/>
    </row>
    <row r="5" spans="1:14" ht="15" customHeight="1">
      <c r="A5" s="63" t="str">
        <f>$J$7&amp;$K$7</f>
        <v>供应商:上海丰欢农业科技有限公司</v>
      </c>
      <c r="B5" s="63"/>
      <c r="C5" s="63" t="str">
        <f>$J$5&amp;$K$5</f>
        <v>采购商地址:</v>
      </c>
      <c r="D5" s="63"/>
      <c r="E5" s="63"/>
      <c r="F5" s="63" t="s">
        <v>0</v>
      </c>
      <c r="G5" s="63"/>
      <c r="H5" s="63"/>
      <c r="I5" s="36"/>
      <c r="J5" s="42" t="s">
        <v>10</v>
      </c>
      <c r="K5" s="43"/>
      <c r="L5" s="42" t="s">
        <v>11</v>
      </c>
      <c r="M5" s="44"/>
    </row>
    <row r="6" spans="1:14" ht="6" customHeight="1">
      <c r="A6" s="65" t="s">
        <v>0</v>
      </c>
      <c r="B6" s="65" t="s">
        <v>0</v>
      </c>
      <c r="C6" s="65" t="s">
        <v>0</v>
      </c>
      <c r="D6" s="65" t="s">
        <v>0</v>
      </c>
      <c r="E6" s="65" t="s">
        <v>0</v>
      </c>
      <c r="F6" s="65" t="s">
        <v>0</v>
      </c>
      <c r="G6" s="65" t="s">
        <v>0</v>
      </c>
      <c r="H6" s="65" t="s">
        <v>0</v>
      </c>
      <c r="I6" s="36"/>
      <c r="J6" s="42"/>
      <c r="K6" s="45"/>
      <c r="L6" s="39" t="s">
        <v>12</v>
      </c>
      <c r="M6" s="46" t="s">
        <v>604</v>
      </c>
    </row>
    <row r="7" spans="1:14" s="7" customFormat="1" ht="15.95" customHeight="1">
      <c r="A7" s="15" t="s">
        <v>13</v>
      </c>
      <c r="B7" s="16" t="s">
        <v>14</v>
      </c>
      <c r="C7" s="16" t="s">
        <v>15</v>
      </c>
      <c r="D7" s="16" t="s">
        <v>16</v>
      </c>
      <c r="E7" s="16" t="s">
        <v>17</v>
      </c>
      <c r="F7" s="17" t="s">
        <v>18</v>
      </c>
      <c r="G7" s="18" t="s">
        <v>19</v>
      </c>
      <c r="H7" s="16" t="s">
        <v>20</v>
      </c>
      <c r="I7" s="47" t="s">
        <v>21</v>
      </c>
      <c r="J7" s="42" t="s">
        <v>22</v>
      </c>
      <c r="K7" s="42" t="s">
        <v>23</v>
      </c>
      <c r="L7" s="42" t="s">
        <v>24</v>
      </c>
      <c r="M7" s="44"/>
    </row>
    <row r="8" spans="1:14" ht="15.95" customHeight="1">
      <c r="A8" s="19">
        <v>1</v>
      </c>
      <c r="B8" s="54"/>
      <c r="C8" s="21"/>
      <c r="D8" s="21"/>
      <c r="E8" s="22"/>
      <c r="F8" s="29"/>
      <c r="G8" s="24">
        <f t="shared" ref="G8:G19" si="0">E8*F8</f>
        <v>0</v>
      </c>
      <c r="H8" s="21"/>
      <c r="I8" s="36">
        <v>1</v>
      </c>
      <c r="J8" s="61" t="str">
        <f>"&lt;   当前打印页数:"&amp;IF(COUNTA(蔬菜类!$B$27:$B$32)&gt;0,"共 2 页   &gt;","共 1 页   &gt;")</f>
        <v>&lt;   当前打印页数:共 1 页   &gt;</v>
      </c>
      <c r="K8" s="61"/>
      <c r="L8" s="61"/>
      <c r="M8" s="61"/>
    </row>
    <row r="9" spans="1:14" ht="15.95" customHeight="1">
      <c r="A9" s="19">
        <v>2</v>
      </c>
      <c r="B9" s="54"/>
      <c r="C9" s="21"/>
      <c r="D9" s="21"/>
      <c r="E9" s="22"/>
      <c r="F9" s="29"/>
      <c r="G9" s="24">
        <f t="shared" si="0"/>
        <v>0</v>
      </c>
      <c r="H9" s="21"/>
      <c r="I9" s="36">
        <v>2</v>
      </c>
      <c r="J9" s="61"/>
      <c r="K9" s="61"/>
      <c r="L9" s="61"/>
      <c r="M9" s="61"/>
    </row>
    <row r="10" spans="1:14" ht="15.95" customHeight="1">
      <c r="A10" s="19">
        <v>3</v>
      </c>
      <c r="B10" s="54"/>
      <c r="C10" s="21"/>
      <c r="D10" s="21"/>
      <c r="E10" s="22"/>
      <c r="F10" s="29"/>
      <c r="G10" s="24">
        <f t="shared" si="0"/>
        <v>0</v>
      </c>
      <c r="H10" s="21"/>
      <c r="I10" s="36">
        <v>3</v>
      </c>
      <c r="J10" s="61" t="str">
        <f>"&lt;   第一页有数据: "&amp;COUNTA(蔬菜类!$B$8:$B$19)&amp;"/12 行   &gt;"</f>
        <v>&lt;   第一页有数据: 0/12 行   &gt;</v>
      </c>
      <c r="K10" s="61"/>
      <c r="L10" s="61"/>
      <c r="M10" s="61"/>
    </row>
    <row r="11" spans="1:14" ht="15.95" customHeight="1">
      <c r="A11" s="19">
        <v>4</v>
      </c>
      <c r="B11" s="54"/>
      <c r="C11" s="21"/>
      <c r="D11" s="21"/>
      <c r="E11" s="22"/>
      <c r="F11" s="29"/>
      <c r="G11" s="24">
        <f t="shared" si="0"/>
        <v>0</v>
      </c>
      <c r="H11" s="21"/>
      <c r="I11" s="36">
        <v>4</v>
      </c>
      <c r="J11" s="61"/>
      <c r="K11" s="61"/>
      <c r="L11" s="61"/>
      <c r="M11" s="61"/>
    </row>
    <row r="12" spans="1:14" ht="15.95" customHeight="1">
      <c r="A12" s="19">
        <v>5</v>
      </c>
      <c r="B12" s="54"/>
      <c r="C12" s="21"/>
      <c r="D12" s="21"/>
      <c r="E12" s="22"/>
      <c r="F12" s="29"/>
      <c r="G12" s="24">
        <f t="shared" si="0"/>
        <v>0</v>
      </c>
      <c r="H12" s="21"/>
      <c r="I12" s="36">
        <v>5</v>
      </c>
      <c r="J12" s="61" t="str">
        <f>"&lt;   第二页有数据: "&amp;COUNTA(蔬菜类!$B$27:$B$38)&amp;"/12 行   &gt;"</f>
        <v>&lt;   第二页有数据: 0/12 行   &gt;</v>
      </c>
      <c r="K12" s="61"/>
      <c r="L12" s="61"/>
      <c r="M12" s="61"/>
    </row>
    <row r="13" spans="1:14" ht="15.95" customHeight="1">
      <c r="A13" s="19">
        <v>6</v>
      </c>
      <c r="B13" s="54"/>
      <c r="C13" s="21"/>
      <c r="D13" s="21"/>
      <c r="E13" s="22"/>
      <c r="F13" s="29"/>
      <c r="G13" s="24">
        <f t="shared" si="0"/>
        <v>0</v>
      </c>
      <c r="H13" s="21"/>
      <c r="I13" s="36">
        <v>6</v>
      </c>
      <c r="J13" s="61"/>
      <c r="K13" s="61"/>
      <c r="L13" s="61"/>
      <c r="M13" s="61"/>
    </row>
    <row r="14" spans="1:14" ht="15.95" customHeight="1">
      <c r="A14" s="19">
        <v>7</v>
      </c>
      <c r="B14" s="54"/>
      <c r="C14" s="21"/>
      <c r="D14" s="21"/>
      <c r="E14" s="22"/>
      <c r="F14" s="29"/>
      <c r="G14" s="24">
        <f t="shared" si="0"/>
        <v>0</v>
      </c>
      <c r="H14" s="21"/>
      <c r="I14" s="36">
        <v>7</v>
      </c>
      <c r="J14" s="61" t="str">
        <f>"&lt;  "&amp;F22&amp;"  &gt;"</f>
        <v>&lt;  实收总额:      元  &gt;</v>
      </c>
      <c r="K14" s="61"/>
      <c r="L14" s="61"/>
      <c r="M14" s="61"/>
    </row>
    <row r="15" spans="1:14" ht="15.95" customHeight="1">
      <c r="A15" s="19">
        <v>8</v>
      </c>
      <c r="B15" s="16"/>
      <c r="C15" s="21"/>
      <c r="D15" s="21"/>
      <c r="E15" s="22"/>
      <c r="F15" s="29"/>
      <c r="G15" s="24">
        <f t="shared" si="0"/>
        <v>0</v>
      </c>
      <c r="H15" s="21"/>
      <c r="I15" s="36">
        <v>8</v>
      </c>
      <c r="J15" s="61"/>
      <c r="K15" s="61"/>
      <c r="L15" s="61"/>
      <c r="M15" s="61"/>
    </row>
    <row r="16" spans="1:14" ht="15.95" customHeight="1">
      <c r="A16" s="19">
        <v>9</v>
      </c>
      <c r="B16" s="55"/>
      <c r="C16" s="21"/>
      <c r="D16" s="21"/>
      <c r="E16" s="22"/>
      <c r="F16" s="29"/>
      <c r="G16" s="24">
        <f t="shared" si="0"/>
        <v>0</v>
      </c>
      <c r="H16" s="21"/>
      <c r="I16" s="36">
        <v>9</v>
      </c>
      <c r="J16" s="66" t="str">
        <f>TEXT($M$2,"yyyymmdd")&amp;"-"&amp;$M$6</f>
        <v>20190602-220596</v>
      </c>
      <c r="K16" s="66"/>
      <c r="L16" s="48" t="s">
        <v>25</v>
      </c>
      <c r="M16" s="60" t="str">
        <f>IF(COUNTA(蔬菜类!$B$27:$B$32)&gt;0,"2","1")</f>
        <v>1</v>
      </c>
    </row>
    <row r="17" spans="1:13" ht="15.95" customHeight="1">
      <c r="A17" s="19">
        <v>10</v>
      </c>
      <c r="B17" s="16"/>
      <c r="C17" s="21"/>
      <c r="D17" s="21"/>
      <c r="E17" s="22"/>
      <c r="F17" s="29"/>
      <c r="G17" s="24">
        <f t="shared" si="0"/>
        <v>0</v>
      </c>
      <c r="H17" s="21"/>
      <c r="I17" s="36">
        <v>10</v>
      </c>
      <c r="J17" s="49"/>
      <c r="K17" s="49"/>
      <c r="L17" s="50"/>
      <c r="M17" s="50"/>
    </row>
    <row r="18" spans="1:13" ht="15.95" customHeight="1">
      <c r="A18" s="19">
        <v>11</v>
      </c>
      <c r="B18" s="16"/>
      <c r="C18" s="21"/>
      <c r="D18" s="21"/>
      <c r="E18" s="22"/>
      <c r="F18" s="29"/>
      <c r="G18" s="24">
        <f t="shared" si="0"/>
        <v>0</v>
      </c>
      <c r="H18" s="21"/>
      <c r="I18" s="36">
        <v>11</v>
      </c>
      <c r="J18" s="49"/>
      <c r="K18" s="51" t="s">
        <v>26</v>
      </c>
      <c r="L18" s="50"/>
      <c r="M18" s="50"/>
    </row>
    <row r="19" spans="1:13" ht="15.95" customHeight="1">
      <c r="A19" s="19">
        <v>12</v>
      </c>
      <c r="B19" s="16"/>
      <c r="C19" s="21"/>
      <c r="D19" s="21"/>
      <c r="E19" s="22"/>
      <c r="F19" s="29"/>
      <c r="G19" s="56">
        <f t="shared" si="0"/>
        <v>0</v>
      </c>
      <c r="H19" s="21"/>
      <c r="I19" s="36">
        <v>12</v>
      </c>
      <c r="J19" s="49"/>
      <c r="K19" s="49"/>
      <c r="L19" s="50"/>
      <c r="M19" s="50"/>
    </row>
    <row r="20" spans="1:13" ht="15.95" customHeight="1">
      <c r="A20" s="19"/>
      <c r="B20" s="25" t="s">
        <v>27</v>
      </c>
      <c r="C20" s="26"/>
      <c r="D20" s="26"/>
      <c r="E20" s="27">
        <f>SUM($E$8:$E$19)</f>
        <v>0</v>
      </c>
      <c r="F20" s="28"/>
      <c r="G20" s="24">
        <f>SUM(G8:G19)</f>
        <v>0</v>
      </c>
      <c r="H20" s="26" t="s">
        <v>0</v>
      </c>
      <c r="I20" s="36"/>
      <c r="J20" s="49"/>
      <c r="K20" s="49"/>
      <c r="L20" s="50"/>
      <c r="M20" s="50"/>
    </row>
    <row r="21" spans="1:13" ht="8.1" customHeight="1">
      <c r="A21" s="73" t="s">
        <v>0</v>
      </c>
      <c r="B21" s="73"/>
      <c r="C21" s="73" t="s">
        <v>0</v>
      </c>
      <c r="D21" s="73" t="s">
        <v>0</v>
      </c>
      <c r="E21" s="73" t="s">
        <v>0</v>
      </c>
      <c r="F21" s="73" t="s">
        <v>0</v>
      </c>
      <c r="G21" s="73" t="s">
        <v>0</v>
      </c>
      <c r="H21" s="73" t="s">
        <v>0</v>
      </c>
      <c r="I21" s="36"/>
      <c r="J21" s="49"/>
      <c r="K21" s="49"/>
      <c r="L21" s="50"/>
      <c r="M21" s="50"/>
    </row>
    <row r="22" spans="1:13" ht="18" customHeight="1">
      <c r="A22" s="67" t="str">
        <f>$J$3&amp;$K$3</f>
        <v>制单人:齐凤云(13817497731)</v>
      </c>
      <c r="B22" s="67"/>
      <c r="C22" s="67" t="str">
        <f>"本页实收金额: "&amp;TEXT(SUMPRODUCT($E$8:$E$19,$F$8:$F$19),"0.00")&amp;" 元"</f>
        <v>本页实收金额: 0.00 元</v>
      </c>
      <c r="D22" s="67"/>
      <c r="E22" s="67"/>
      <c r="F22" s="67" t="str">
        <f>"实收总额: "&amp;TEXT(IF(G20+G39=0,"    ",G20+G39),"0.00")&amp;" 元"</f>
        <v>实收总额:      元</v>
      </c>
      <c r="G22" s="67"/>
      <c r="H22" s="67"/>
      <c r="I22" s="36"/>
      <c r="J22" s="69" t="s">
        <v>28</v>
      </c>
      <c r="K22" s="69"/>
      <c r="L22" s="69"/>
      <c r="M22" s="69"/>
    </row>
    <row r="23" spans="1:13" ht="18" customHeight="1">
      <c r="A23" s="67" t="s">
        <v>29</v>
      </c>
      <c r="B23" s="67"/>
      <c r="C23" s="67" t="s">
        <v>30</v>
      </c>
      <c r="D23" s="67"/>
      <c r="E23" s="67"/>
      <c r="F23" s="67"/>
      <c r="G23" s="67"/>
      <c r="H23" s="67"/>
      <c r="I23" s="36"/>
      <c r="J23" s="69"/>
      <c r="K23" s="69"/>
      <c r="L23" s="69"/>
      <c r="M23" s="69"/>
    </row>
    <row r="24" spans="1:13" ht="18" customHeight="1">
      <c r="A24" s="68" t="s">
        <v>31</v>
      </c>
      <c r="B24" s="68"/>
      <c r="C24" s="68" t="s">
        <v>0</v>
      </c>
      <c r="D24" s="68" t="s">
        <v>0</v>
      </c>
      <c r="E24" s="68" t="s">
        <v>0</v>
      </c>
      <c r="F24" s="68" t="s">
        <v>0</v>
      </c>
      <c r="G24" s="68" t="s">
        <v>0</v>
      </c>
      <c r="H24" s="68" t="s">
        <v>0</v>
      </c>
      <c r="I24" s="36"/>
      <c r="J24" s="70"/>
      <c r="K24" s="71"/>
      <c r="L24" s="71"/>
      <c r="M24" s="71"/>
    </row>
    <row r="25" spans="1:13" ht="8.1" customHeight="1">
      <c r="A25" s="72"/>
      <c r="B25" s="72"/>
      <c r="C25" s="72"/>
      <c r="D25" s="72"/>
      <c r="E25" s="72"/>
      <c r="F25" s="72"/>
      <c r="G25" s="72"/>
      <c r="H25" s="72"/>
      <c r="I25" s="36"/>
      <c r="J25" s="71"/>
      <c r="K25" s="71"/>
      <c r="L25" s="71"/>
      <c r="M25" s="71"/>
    </row>
    <row r="26" spans="1:13" ht="15.95" customHeight="1">
      <c r="A26" s="15" t="s">
        <v>13</v>
      </c>
      <c r="B26" s="16" t="s">
        <v>14</v>
      </c>
      <c r="C26" s="16" t="s">
        <v>15</v>
      </c>
      <c r="D26" s="16" t="s">
        <v>16</v>
      </c>
      <c r="E26" s="16" t="s">
        <v>17</v>
      </c>
      <c r="F26" s="17" t="s">
        <v>18</v>
      </c>
      <c r="G26" s="18" t="s">
        <v>19</v>
      </c>
      <c r="H26" s="16" t="s">
        <v>20</v>
      </c>
      <c r="I26" s="36"/>
      <c r="J26" s="52"/>
      <c r="K26" s="52"/>
      <c r="L26" s="53"/>
      <c r="M26" s="53"/>
    </row>
    <row r="27" spans="1:13" ht="15.95" customHeight="1">
      <c r="A27" s="19">
        <v>13</v>
      </c>
      <c r="B27" s="16"/>
      <c r="C27" s="21"/>
      <c r="D27" s="21"/>
      <c r="E27" s="22"/>
      <c r="F27" s="29"/>
      <c r="G27" s="24">
        <f>E27*F27</f>
        <v>0</v>
      </c>
      <c r="H27" s="21"/>
      <c r="I27" s="36">
        <v>1</v>
      </c>
      <c r="J27" s="52"/>
      <c r="K27" s="52"/>
      <c r="L27" s="53"/>
      <c r="M27" s="53"/>
    </row>
    <row r="28" spans="1:13" ht="15.95" customHeight="1">
      <c r="A28" s="19">
        <v>14</v>
      </c>
      <c r="B28" s="16"/>
      <c r="C28" s="21"/>
      <c r="D28" s="21"/>
      <c r="E28" s="22"/>
      <c r="F28" s="29"/>
      <c r="G28" s="24">
        <f t="shared" ref="G28:G38" si="1">E28*F28</f>
        <v>0</v>
      </c>
      <c r="H28" s="21"/>
      <c r="I28" s="36">
        <v>2</v>
      </c>
      <c r="J28" s="52"/>
      <c r="K28" s="52"/>
      <c r="L28" s="53"/>
      <c r="M28" s="53"/>
    </row>
    <row r="29" spans="1:13" ht="15.95" customHeight="1">
      <c r="A29" s="19">
        <v>15</v>
      </c>
      <c r="B29" s="16"/>
      <c r="C29" s="21"/>
      <c r="D29" s="21"/>
      <c r="E29" s="22"/>
      <c r="F29" s="29"/>
      <c r="G29" s="24">
        <f t="shared" si="1"/>
        <v>0</v>
      </c>
      <c r="H29" s="21"/>
      <c r="I29" s="36">
        <v>3</v>
      </c>
      <c r="J29" s="52"/>
      <c r="K29" s="52"/>
      <c r="L29" s="53"/>
      <c r="M29" s="53"/>
    </row>
    <row r="30" spans="1:13" ht="15.95" customHeight="1">
      <c r="A30" s="19">
        <v>16</v>
      </c>
      <c r="B30" s="16"/>
      <c r="C30" s="21"/>
      <c r="D30" s="21"/>
      <c r="E30" s="22"/>
      <c r="F30" s="29"/>
      <c r="G30" s="24">
        <f t="shared" si="1"/>
        <v>0</v>
      </c>
      <c r="H30" s="21"/>
      <c r="I30" s="36">
        <v>4</v>
      </c>
      <c r="J30" s="52"/>
      <c r="K30" s="52"/>
      <c r="L30" s="53"/>
      <c r="M30" s="53"/>
    </row>
    <row r="31" spans="1:13" ht="15.95" customHeight="1">
      <c r="A31" s="19">
        <v>17</v>
      </c>
      <c r="B31" s="16"/>
      <c r="C31" s="21"/>
      <c r="D31" s="21"/>
      <c r="E31" s="22"/>
      <c r="F31" s="29"/>
      <c r="G31" s="24">
        <f t="shared" si="1"/>
        <v>0</v>
      </c>
      <c r="H31" s="21"/>
      <c r="I31" s="36">
        <v>5</v>
      </c>
      <c r="J31" s="52"/>
      <c r="K31" s="52"/>
      <c r="L31" s="53"/>
      <c r="M31" s="53"/>
    </row>
    <row r="32" spans="1:13" ht="15.95" customHeight="1">
      <c r="A32" s="19">
        <v>18</v>
      </c>
      <c r="B32" s="16"/>
      <c r="C32" s="21"/>
      <c r="D32" s="21"/>
      <c r="E32" s="22"/>
      <c r="F32" s="29"/>
      <c r="G32" s="24">
        <f t="shared" si="1"/>
        <v>0</v>
      </c>
      <c r="H32" s="21"/>
      <c r="I32" s="36">
        <v>6</v>
      </c>
      <c r="J32" s="52"/>
      <c r="K32" s="52"/>
      <c r="L32" s="53"/>
      <c r="M32" s="53"/>
    </row>
    <row r="33" spans="1:13" ht="15.95" customHeight="1">
      <c r="A33" s="19">
        <v>19</v>
      </c>
      <c r="B33" s="16"/>
      <c r="C33" s="21"/>
      <c r="D33" s="21"/>
      <c r="E33" s="22"/>
      <c r="F33" s="29"/>
      <c r="G33" s="24">
        <f t="shared" si="1"/>
        <v>0</v>
      </c>
      <c r="H33" s="21"/>
      <c r="I33" s="36">
        <v>7</v>
      </c>
      <c r="J33" s="52"/>
      <c r="K33" s="52"/>
      <c r="L33" s="53"/>
      <c r="M33" s="53"/>
    </row>
    <row r="34" spans="1:13" ht="15.95" customHeight="1">
      <c r="A34" s="19">
        <v>20</v>
      </c>
      <c r="B34" s="16"/>
      <c r="C34" s="21"/>
      <c r="D34" s="21"/>
      <c r="E34" s="22"/>
      <c r="F34" s="29"/>
      <c r="G34" s="24">
        <f t="shared" si="1"/>
        <v>0</v>
      </c>
      <c r="H34" s="21"/>
      <c r="I34" s="36">
        <v>8</v>
      </c>
      <c r="J34" s="52"/>
      <c r="K34" s="52"/>
      <c r="L34" s="53"/>
      <c r="M34" s="53"/>
    </row>
    <row r="35" spans="1:13" ht="15.95" customHeight="1">
      <c r="A35" s="19">
        <v>21</v>
      </c>
      <c r="B35" s="16"/>
      <c r="C35" s="21"/>
      <c r="D35" s="21"/>
      <c r="E35" s="22"/>
      <c r="F35" s="29"/>
      <c r="G35" s="24">
        <f t="shared" si="1"/>
        <v>0</v>
      </c>
      <c r="H35" s="21"/>
      <c r="I35" s="36">
        <v>9</v>
      </c>
      <c r="J35" s="52"/>
      <c r="K35" s="52"/>
      <c r="L35" s="53"/>
      <c r="M35" s="53"/>
    </row>
    <row r="36" spans="1:13" ht="15.95" customHeight="1">
      <c r="A36" s="19">
        <v>22</v>
      </c>
      <c r="B36" s="16"/>
      <c r="C36" s="21"/>
      <c r="D36" s="21"/>
      <c r="E36" s="22"/>
      <c r="F36" s="29"/>
      <c r="G36" s="24">
        <f t="shared" si="1"/>
        <v>0</v>
      </c>
      <c r="H36" s="21"/>
      <c r="I36" s="36">
        <v>10</v>
      </c>
      <c r="J36" s="52"/>
      <c r="K36" s="52"/>
      <c r="L36" s="53"/>
      <c r="M36" s="53"/>
    </row>
    <row r="37" spans="1:13" ht="15.95" customHeight="1">
      <c r="A37" s="19">
        <v>23</v>
      </c>
      <c r="B37" s="16"/>
      <c r="C37" s="21"/>
      <c r="D37" s="21"/>
      <c r="E37" s="22"/>
      <c r="F37" s="29"/>
      <c r="G37" s="24">
        <f t="shared" si="1"/>
        <v>0</v>
      </c>
      <c r="H37" s="21"/>
      <c r="I37" s="36">
        <v>11</v>
      </c>
      <c r="J37" s="52"/>
      <c r="K37" s="52"/>
      <c r="L37" s="53"/>
      <c r="M37" s="53"/>
    </row>
    <row r="38" spans="1:13" ht="15.95" customHeight="1">
      <c r="A38" s="19">
        <v>24</v>
      </c>
      <c r="B38" s="16"/>
      <c r="C38" s="21"/>
      <c r="D38" s="21"/>
      <c r="E38" s="22"/>
      <c r="F38" s="29"/>
      <c r="G38" s="24">
        <f t="shared" si="1"/>
        <v>0</v>
      </c>
      <c r="H38" s="21"/>
      <c r="I38" s="36">
        <v>12</v>
      </c>
      <c r="J38" s="52"/>
      <c r="K38" s="52"/>
      <c r="L38" s="53"/>
      <c r="M38" s="53"/>
    </row>
    <row r="39" spans="1:13" ht="15.95" customHeight="1">
      <c r="A39" s="19"/>
      <c r="B39" s="25" t="str">
        <f>"本页合计"</f>
        <v>本页合计</v>
      </c>
      <c r="C39" s="25"/>
      <c r="D39" s="25"/>
      <c r="E39" s="27">
        <f>SUM($E$27:$E$38)</f>
        <v>0</v>
      </c>
      <c r="F39" s="30"/>
      <c r="G39" s="24">
        <f>SUM(G27:G38)</f>
        <v>0</v>
      </c>
      <c r="H39" s="26" t="s">
        <v>0</v>
      </c>
      <c r="I39" s="36"/>
      <c r="J39" s="52"/>
      <c r="K39" s="52"/>
      <c r="L39" s="53"/>
      <c r="M39" s="53"/>
    </row>
    <row r="40" spans="1:13" ht="8.1" customHeight="1">
      <c r="A40" s="73" t="s">
        <v>0</v>
      </c>
      <c r="B40" s="73" t="s">
        <v>0</v>
      </c>
      <c r="C40" s="73" t="s">
        <v>0</v>
      </c>
      <c r="D40" s="73" t="s">
        <v>0</v>
      </c>
      <c r="E40" s="73" t="s">
        <v>0</v>
      </c>
      <c r="F40" s="73" t="s">
        <v>0</v>
      </c>
      <c r="G40" s="73" t="s">
        <v>0</v>
      </c>
      <c r="H40" s="73" t="s">
        <v>0</v>
      </c>
      <c r="I40" s="36"/>
      <c r="J40" s="52"/>
      <c r="K40" s="52"/>
      <c r="L40" s="53"/>
      <c r="M40" s="53"/>
    </row>
    <row r="41" spans="1:13" ht="18" customHeight="1">
      <c r="A41" s="67" t="str">
        <f>$A$22</f>
        <v>制单人:齐凤云(13817497731)</v>
      </c>
      <c r="B41" s="67" t="s">
        <v>0</v>
      </c>
      <c r="C41" s="67" t="str">
        <f>"本页实收金额: "&amp;TEXT(SUMPRODUCT($E$27:$E$38,$F$27:$F$38),"0.00")&amp;" 元"</f>
        <v>本页实收金额: 0.00 元</v>
      </c>
      <c r="D41" s="67"/>
      <c r="E41" s="67"/>
      <c r="F41" s="67" t="str">
        <f>$F$22</f>
        <v>实收总额:      元</v>
      </c>
      <c r="G41" s="67"/>
      <c r="H41" s="67"/>
      <c r="I41" s="36"/>
      <c r="J41" s="52"/>
      <c r="K41" s="52"/>
      <c r="L41" s="53"/>
      <c r="M41" s="53"/>
    </row>
    <row r="42" spans="1:13" ht="18" customHeight="1">
      <c r="A42" s="67" t="s">
        <v>29</v>
      </c>
      <c r="B42" s="67"/>
      <c r="C42" s="67" t="s">
        <v>30</v>
      </c>
      <c r="D42" s="67"/>
      <c r="E42" s="67"/>
      <c r="F42" s="67"/>
      <c r="G42" s="67"/>
      <c r="H42" s="67"/>
      <c r="I42" s="36"/>
      <c r="J42" s="52"/>
      <c r="K42" s="52"/>
      <c r="L42" s="53"/>
      <c r="M42" s="53"/>
    </row>
    <row r="43" spans="1:13" ht="18" customHeight="1">
      <c r="A43" s="68" t="str">
        <f>"谢谢您的惠顾，我们会竭诚为您提供最好的商品和服务。"</f>
        <v>谢谢您的惠顾，我们会竭诚为您提供最好的商品和服务。</v>
      </c>
      <c r="B43" s="68" t="s">
        <v>0</v>
      </c>
      <c r="C43" s="68" t="s">
        <v>0</v>
      </c>
      <c r="D43" s="68" t="s">
        <v>0</v>
      </c>
      <c r="E43" s="68" t="s">
        <v>0</v>
      </c>
      <c r="F43" s="68" t="s">
        <v>0</v>
      </c>
      <c r="G43" s="68" t="s">
        <v>0</v>
      </c>
      <c r="H43" s="68" t="s">
        <v>0</v>
      </c>
      <c r="I43" s="36"/>
      <c r="J43" s="52"/>
      <c r="K43" s="52"/>
      <c r="L43" s="53"/>
      <c r="M43" s="53"/>
    </row>
    <row r="44" spans="1:13" ht="8.1" customHeight="1">
      <c r="A44" s="31"/>
      <c r="B44" s="32"/>
      <c r="C44" s="33"/>
      <c r="D44" s="33"/>
      <c r="E44" s="33"/>
      <c r="F44" s="34"/>
      <c r="G44" s="35"/>
      <c r="H44" s="33"/>
      <c r="I44" s="36"/>
      <c r="J44" s="52"/>
      <c r="K44" s="52"/>
      <c r="L44" s="53"/>
      <c r="M44" s="53"/>
    </row>
    <row r="45" spans="1:13" ht="18" customHeight="1">
      <c r="A45" s="31"/>
      <c r="B45" s="32"/>
      <c r="C45" s="33"/>
      <c r="D45" s="33"/>
      <c r="E45" s="33"/>
      <c r="F45" s="34"/>
      <c r="G45" s="35"/>
      <c r="H45" s="33"/>
    </row>
    <row r="46" spans="1:13" ht="18" customHeight="1">
      <c r="A46" s="31"/>
      <c r="B46" s="32"/>
      <c r="C46" s="33"/>
      <c r="D46" s="33"/>
      <c r="E46" s="33"/>
      <c r="F46" s="34"/>
      <c r="G46" s="35"/>
      <c r="H46" s="33"/>
    </row>
    <row r="47" spans="1:13" ht="15" customHeight="1">
      <c r="A47" s="31"/>
      <c r="B47" s="32"/>
      <c r="C47" s="33"/>
      <c r="D47" s="33"/>
      <c r="E47" s="33"/>
      <c r="F47" s="34"/>
      <c r="G47" s="35"/>
      <c r="H47" s="33"/>
    </row>
    <row r="48" spans="1:13" ht="18" customHeight="1">
      <c r="A48" s="31"/>
      <c r="B48" s="32"/>
      <c r="C48" s="33"/>
      <c r="D48" s="33"/>
      <c r="E48" s="33"/>
      <c r="F48" s="34"/>
      <c r="G48" s="35"/>
      <c r="H48" s="33"/>
    </row>
    <row r="49" spans="1:8" ht="15" customHeight="1">
      <c r="A49" s="31"/>
      <c r="B49" s="32"/>
      <c r="C49" s="33"/>
      <c r="D49" s="33"/>
      <c r="E49" s="33"/>
      <c r="F49" s="34"/>
      <c r="G49" s="35"/>
      <c r="H49" s="33"/>
    </row>
    <row r="50" spans="1:8">
      <c r="A50" s="31"/>
      <c r="B50" s="32"/>
      <c r="C50" s="33"/>
      <c r="D50" s="33"/>
      <c r="E50" s="33"/>
      <c r="F50" s="34"/>
      <c r="G50" s="35"/>
      <c r="H50" s="33"/>
    </row>
    <row r="51" spans="1:8">
      <c r="A51" s="31"/>
      <c r="B51" s="32"/>
      <c r="C51" s="33"/>
      <c r="D51" s="33"/>
      <c r="E51" s="33"/>
      <c r="F51" s="34"/>
      <c r="G51" s="35"/>
      <c r="H51" s="33"/>
    </row>
    <row r="52" spans="1:8">
      <c r="A52" s="31"/>
      <c r="B52" s="32"/>
      <c r="C52" s="33"/>
      <c r="D52" s="33"/>
      <c r="E52" s="33"/>
      <c r="F52" s="34"/>
      <c r="G52" s="35"/>
      <c r="H52" s="33"/>
    </row>
    <row r="53" spans="1:8">
      <c r="A53" s="31"/>
      <c r="B53" s="32"/>
      <c r="C53" s="33"/>
      <c r="D53" s="33"/>
      <c r="E53" s="33"/>
      <c r="F53" s="34"/>
      <c r="G53" s="35"/>
      <c r="H53" s="33"/>
    </row>
    <row r="54" spans="1:8">
      <c r="A54" s="31"/>
      <c r="B54" s="32"/>
      <c r="C54" s="33"/>
      <c r="D54" s="33"/>
      <c r="E54" s="33"/>
      <c r="F54" s="34"/>
      <c r="G54" s="35"/>
      <c r="H54" s="33"/>
    </row>
    <row r="55" spans="1:8">
      <c r="A55" s="31"/>
      <c r="B55" s="32"/>
      <c r="C55" s="33"/>
      <c r="D55" s="33"/>
      <c r="E55" s="33"/>
      <c r="F55" s="34"/>
      <c r="G55" s="35"/>
      <c r="H55" s="33"/>
    </row>
    <row r="56" spans="1:8">
      <c r="A56" s="31"/>
      <c r="B56" s="32"/>
      <c r="C56" s="33"/>
      <c r="D56" s="33"/>
      <c r="E56" s="33"/>
      <c r="F56" s="34"/>
      <c r="G56" s="35"/>
      <c r="H56" s="33"/>
    </row>
    <row r="57" spans="1:8">
      <c r="A57" s="31"/>
      <c r="B57" s="32"/>
      <c r="C57" s="33"/>
      <c r="D57" s="33"/>
      <c r="E57" s="33"/>
      <c r="F57" s="34"/>
      <c r="G57" s="35"/>
      <c r="H57" s="33"/>
    </row>
    <row r="58" spans="1:8">
      <c r="A58" s="31"/>
      <c r="B58" s="32"/>
      <c r="C58" s="33"/>
      <c r="D58" s="33"/>
      <c r="E58" s="33"/>
      <c r="F58" s="34"/>
      <c r="G58" s="35"/>
      <c r="H58" s="33"/>
    </row>
    <row r="59" spans="1:8">
      <c r="A59" s="31"/>
      <c r="B59" s="32"/>
      <c r="C59" s="33"/>
      <c r="D59" s="33"/>
      <c r="E59" s="33"/>
      <c r="F59" s="34"/>
      <c r="G59" s="35"/>
      <c r="H59" s="33"/>
    </row>
    <row r="60" spans="1:8">
      <c r="A60" s="31"/>
      <c r="B60" s="32"/>
      <c r="C60" s="33"/>
      <c r="D60" s="33"/>
      <c r="E60" s="33"/>
      <c r="F60" s="34"/>
      <c r="G60" s="35"/>
      <c r="H60" s="33"/>
    </row>
    <row r="61" spans="1:8">
      <c r="A61" s="31"/>
      <c r="B61" s="32"/>
      <c r="C61" s="33"/>
      <c r="D61" s="33"/>
      <c r="E61" s="33"/>
      <c r="F61" s="34"/>
      <c r="G61" s="35"/>
      <c r="H61" s="33"/>
    </row>
    <row r="62" spans="1:8">
      <c r="A62" s="31"/>
      <c r="B62" s="32"/>
      <c r="C62" s="33"/>
      <c r="D62" s="33"/>
      <c r="E62" s="33"/>
      <c r="F62" s="34"/>
      <c r="G62" s="35"/>
      <c r="H62" s="33"/>
    </row>
    <row r="63" spans="1:8">
      <c r="A63" s="31"/>
      <c r="B63" s="32"/>
      <c r="C63" s="33"/>
      <c r="D63" s="33"/>
      <c r="E63" s="33"/>
      <c r="F63" s="34"/>
      <c r="G63" s="35"/>
      <c r="H63" s="33"/>
    </row>
    <row r="64" spans="1:8">
      <c r="A64" s="31"/>
      <c r="B64" s="32"/>
      <c r="C64" s="33"/>
      <c r="D64" s="33"/>
      <c r="E64" s="33"/>
      <c r="F64" s="34"/>
      <c r="G64" s="35"/>
      <c r="H64" s="33"/>
    </row>
    <row r="65" spans="1:8">
      <c r="A65" s="31"/>
      <c r="B65" s="32"/>
      <c r="C65" s="33"/>
      <c r="D65" s="33"/>
      <c r="E65" s="33"/>
      <c r="F65" s="34"/>
      <c r="G65" s="35"/>
      <c r="H65" s="33"/>
    </row>
    <row r="66" spans="1:8">
      <c r="A66" s="31"/>
      <c r="B66" s="32"/>
      <c r="C66" s="33"/>
      <c r="D66" s="33"/>
      <c r="E66" s="33"/>
      <c r="F66" s="34"/>
      <c r="G66" s="35"/>
      <c r="H66" s="33"/>
    </row>
    <row r="67" spans="1:8">
      <c r="A67" s="31"/>
      <c r="B67" s="32"/>
      <c r="C67" s="33"/>
      <c r="D67" s="33"/>
      <c r="E67" s="33"/>
      <c r="F67" s="34"/>
      <c r="G67" s="35"/>
      <c r="H67" s="33"/>
    </row>
    <row r="68" spans="1:8">
      <c r="A68" s="31"/>
      <c r="B68" s="32"/>
      <c r="C68" s="33"/>
      <c r="D68" s="33"/>
      <c r="E68" s="33"/>
      <c r="F68" s="34"/>
      <c r="G68" s="35"/>
      <c r="H68" s="33"/>
    </row>
  </sheetData>
  <sheetProtection algorithmName="SHA-512" hashValue="YILzTOnOH8/FHr6p8h4GbSaZWXnG3sw2SSMxodyvcTJ7M0odNUS8xjidHuFjILrFPt/Nh+BX66RI974owfkZkA==" saltValue="26GNh4wzGWO5MYrLYDP3mA==" spinCount="100000" sheet="1" objects="1" scenarios="1" formatCells="0"/>
  <mergeCells count="36">
    <mergeCell ref="A42:B42"/>
    <mergeCell ref="C42:E42"/>
    <mergeCell ref="F42:H42"/>
    <mergeCell ref="A43:H43"/>
    <mergeCell ref="J10:M11"/>
    <mergeCell ref="J12:M13"/>
    <mergeCell ref="J14:M15"/>
    <mergeCell ref="J22:M23"/>
    <mergeCell ref="J24:M25"/>
    <mergeCell ref="A24:H24"/>
    <mergeCell ref="A25:H25"/>
    <mergeCell ref="A40:H40"/>
    <mergeCell ref="A41:B41"/>
    <mergeCell ref="C41:E41"/>
    <mergeCell ref="F41:H41"/>
    <mergeCell ref="A21:H21"/>
    <mergeCell ref="A22:B22"/>
    <mergeCell ref="C22:E22"/>
    <mergeCell ref="F22:H22"/>
    <mergeCell ref="A23:B23"/>
    <mergeCell ref="C23:E23"/>
    <mergeCell ref="F23:H23"/>
    <mergeCell ref="A5:B5"/>
    <mergeCell ref="C5:E5"/>
    <mergeCell ref="F5:H5"/>
    <mergeCell ref="A6:H6"/>
    <mergeCell ref="J16:K16"/>
    <mergeCell ref="J8:M9"/>
    <mergeCell ref="J1:M1"/>
    <mergeCell ref="A3:B3"/>
    <mergeCell ref="C3:E3"/>
    <mergeCell ref="F3:H3"/>
    <mergeCell ref="A4:B4"/>
    <mergeCell ref="C4:E4"/>
    <mergeCell ref="F4:H4"/>
    <mergeCell ref="A1:H2"/>
  </mergeCells>
  <phoneticPr fontId="27" type="noConversion"/>
  <dataValidations count="2">
    <dataValidation type="list" allowBlank="1" showInputMessage="1" sqref="M3">
      <formula1>"蔬菜类,荤菜类,调料类,水果类"</formula1>
    </dataValidation>
    <dataValidation type="list" allowBlank="1" showInputMessage="1" sqref="D8:D19 D27:D38">
      <formula1>"kg,g,斤,个,件,包,箱,桶,袋,吨,片,套,瓶,只,支,盒,条"</formula1>
    </dataValidation>
  </dataValidations>
  <printOptions horizontalCentered="1"/>
  <pageMargins left="0.196527777777778" right="0.196527777777778" top="0.118055555555556" bottom="0.118055555555556" header="0.31388888888888899" footer="0.31388888888888899"/>
  <pageSetup paperSize="8" fitToWidth="0" fitToHeight="0" orientation="portrait" horizontalDpi="1200" verticalDpi="1200"/>
  <headerFooter>
    <oddFooter>&amp;R&amp;"宋体,常规"第&amp;"Arial,常规" &amp;P &amp;"宋体,常规"页，共&amp;"Arial,常规" &amp;N &amp;"宋体,常规"页</oddFooter>
  </headerFooter>
  <rowBreaks count="1" manualBreakCount="1">
    <brk id="50" max="10" man="1"/>
  </rowBreaks>
  <colBreaks count="1" manualBreakCount="1">
    <brk id="8" max="1048575" man="1"/>
  </colBreaks>
  <drawing r:id="rId1"/>
  <legacyDrawing r:id="rId2"/>
  <controls>
    <mc:AlternateContent xmlns:mc="http://schemas.openxmlformats.org/markup-compatibility/2006">
      <mc:Choice Requires="x14">
        <control shapeId="3082" r:id="rId3" name="CommandButton1">
          <controlPr defaultSize="0" print="0" altText="" r:id="rId4">
            <anchor moveWithCells="1">
              <from>
                <xdr:col>10</xdr:col>
                <xdr:colOff>1552575</xdr:colOff>
                <xdr:row>18</xdr:row>
                <xdr:rowOff>114300</xdr:rowOff>
              </from>
              <to>
                <xdr:col>12</xdr:col>
                <xdr:colOff>28575</xdr:colOff>
                <xdr:row>21</xdr:row>
                <xdr:rowOff>9525</xdr:rowOff>
              </to>
            </anchor>
          </controlPr>
        </control>
      </mc:Choice>
      <mc:Fallback>
        <control shapeId="3082" r:id="rId3" name="CommandButton1"/>
      </mc:Fallback>
    </mc:AlternateContent>
    <mc:AlternateContent xmlns:mc="http://schemas.openxmlformats.org/markup-compatibility/2006">
      <mc:Choice Requires="x14">
        <control shapeId="3081" r:id="rId5" name="SaveMe">
          <controlPr defaultSize="0" altText="" r:id="rId6">
            <anchor moveWithCells="1">
              <from>
                <xdr:col>13</xdr:col>
                <xdr:colOff>28575</xdr:colOff>
                <xdr:row>0</xdr:row>
                <xdr:rowOff>9525</xdr:rowOff>
              </from>
              <to>
                <xdr:col>13</xdr:col>
                <xdr:colOff>285750</xdr:colOff>
                <xdr:row>0</xdr:row>
                <xdr:rowOff>161925</xdr:rowOff>
              </to>
            </anchor>
          </controlPr>
        </control>
      </mc:Choice>
      <mc:Fallback>
        <control shapeId="3081" r:id="rId5" name="SaveMe"/>
      </mc:Fallback>
    </mc:AlternateContent>
    <mc:AlternateContent xmlns:mc="http://schemas.openxmlformats.org/markup-compatibility/2006">
      <mc:Choice Requires="x14">
        <control shapeId="3080" r:id="rId7" name="HideSheet2">
          <controlPr defaultSize="0" print="0" altText="" r:id="rId8">
            <anchor moveWithCells="1">
              <from>
                <xdr:col>10</xdr:col>
                <xdr:colOff>371475</xdr:colOff>
                <xdr:row>18</xdr:row>
                <xdr:rowOff>114300</xdr:rowOff>
              </from>
              <to>
                <xdr:col>10</xdr:col>
                <xdr:colOff>1266825</xdr:colOff>
                <xdr:row>21</xdr:row>
                <xdr:rowOff>9525</xdr:rowOff>
              </to>
            </anchor>
          </controlPr>
        </control>
      </mc:Choice>
      <mc:Fallback>
        <control shapeId="3080" r:id="rId7" name="HideSheet2"/>
      </mc:Fallback>
    </mc:AlternateContent>
    <mc:AlternateContent xmlns:mc="http://schemas.openxmlformats.org/markup-compatibility/2006">
      <mc:Choice Requires="x14">
        <control shapeId="3079" r:id="rId9" name="ListBox1">
          <controlPr defaultSize="0" print="0" altText="" r:id="rId10">
            <anchor moveWithCells="1">
              <from>
                <xdr:col>13</xdr:col>
                <xdr:colOff>123825</xdr:colOff>
                <xdr:row>9</xdr:row>
                <xdr:rowOff>104775</xdr:rowOff>
              </from>
              <to>
                <xdr:col>17</xdr:col>
                <xdr:colOff>428625</xdr:colOff>
                <xdr:row>14</xdr:row>
                <xdr:rowOff>104775</xdr:rowOff>
              </to>
            </anchor>
          </controlPr>
        </control>
      </mc:Choice>
      <mc:Fallback>
        <control shapeId="3079" r:id="rId9" name="ListBox1"/>
      </mc:Fallback>
    </mc:AlternateContent>
    <mc:AlternateContent xmlns:mc="http://schemas.openxmlformats.org/markup-compatibility/2006">
      <mc:Choice Requires="x14">
        <control shapeId="3078" r:id="rId11" name="TextBox1">
          <controlPr defaultSize="0" print="0" altText="" linkedCell="B9" r:id="rId12">
            <anchor moveWithCells="1">
              <from>
                <xdr:col>13</xdr:col>
                <xdr:colOff>123825</xdr:colOff>
                <xdr:row>8</xdr:row>
                <xdr:rowOff>0</xdr:rowOff>
              </from>
              <to>
                <xdr:col>17</xdr:col>
                <xdr:colOff>428625</xdr:colOff>
                <xdr:row>9</xdr:row>
                <xdr:rowOff>104775</xdr:rowOff>
              </to>
            </anchor>
          </controlPr>
        </control>
      </mc:Choice>
      <mc:Fallback>
        <control shapeId="3078" r:id="rId11" name="TextBox1"/>
      </mc:Fallback>
    </mc:AlternateContent>
    <mc:AlternateContent xmlns:mc="http://schemas.openxmlformats.org/markup-compatibility/2006">
      <mc:Choice Requires="x14">
        <control shapeId="3077" r:id="rId13" name="OpenPath">
          <controlPr defaultSize="0" print="0" altText="" r:id="rId14">
            <anchor moveWithCells="1">
              <from>
                <xdr:col>9</xdr:col>
                <xdr:colOff>19050</xdr:colOff>
                <xdr:row>16</xdr:row>
                <xdr:rowOff>38100</xdr:rowOff>
              </from>
              <to>
                <xdr:col>10</xdr:col>
                <xdr:colOff>161925</xdr:colOff>
                <xdr:row>18</xdr:row>
                <xdr:rowOff>28575</xdr:rowOff>
              </to>
            </anchor>
          </controlPr>
        </control>
      </mc:Choice>
      <mc:Fallback>
        <control shapeId="3077" r:id="rId13" name="OpenPath"/>
      </mc:Fallback>
    </mc:AlternateContent>
    <mc:AlternateContent xmlns:mc="http://schemas.openxmlformats.org/markup-compatibility/2006">
      <mc:Choice Requires="x14">
        <control shapeId="3076" r:id="rId15" name="SaveAsXLSX">
          <controlPr defaultSize="0" print="0" altText="" r:id="rId16">
            <anchor moveWithCells="1">
              <from>
                <xdr:col>12</xdr:col>
                <xdr:colOff>219075</xdr:colOff>
                <xdr:row>16</xdr:row>
                <xdr:rowOff>28575</xdr:rowOff>
              </from>
              <to>
                <xdr:col>12</xdr:col>
                <xdr:colOff>1114425</xdr:colOff>
                <xdr:row>18</xdr:row>
                <xdr:rowOff>19050</xdr:rowOff>
              </to>
            </anchor>
          </controlPr>
        </control>
      </mc:Choice>
      <mc:Fallback>
        <control shapeId="3076" r:id="rId15" name="SaveAsXLSX"/>
      </mc:Fallback>
    </mc:AlternateContent>
    <mc:AlternateContent xmlns:mc="http://schemas.openxmlformats.org/markup-compatibility/2006">
      <mc:Choice Requires="x14">
        <control shapeId="3075" r:id="rId17" name="ClearButton">
          <controlPr defaultSize="0" print="0" altText="" r:id="rId18">
            <anchor moveWithCells="1">
              <from>
                <xdr:col>9</xdr:col>
                <xdr:colOff>19050</xdr:colOff>
                <xdr:row>18</xdr:row>
                <xdr:rowOff>114300</xdr:rowOff>
              </from>
              <to>
                <xdr:col>10</xdr:col>
                <xdr:colOff>161925</xdr:colOff>
                <xdr:row>21</xdr:row>
                <xdr:rowOff>9525</xdr:rowOff>
              </to>
            </anchor>
          </controlPr>
        </control>
      </mc:Choice>
      <mc:Fallback>
        <control shapeId="3075" r:id="rId17" name="ClearButton"/>
      </mc:Fallback>
    </mc:AlternateContent>
    <mc:AlternateContent xmlns:mc="http://schemas.openxmlformats.org/markup-compatibility/2006">
      <mc:Choice Requires="x14">
        <control shapeId="3074" r:id="rId19" name="PrintPDF">
          <controlPr defaultSize="0" print="0" altText="" r:id="rId20">
            <anchor moveWithCells="1">
              <from>
                <xdr:col>10</xdr:col>
                <xdr:colOff>361950</xdr:colOff>
                <xdr:row>16</xdr:row>
                <xdr:rowOff>38100</xdr:rowOff>
              </from>
              <to>
                <xdr:col>10</xdr:col>
                <xdr:colOff>1257300</xdr:colOff>
                <xdr:row>18</xdr:row>
                <xdr:rowOff>28575</xdr:rowOff>
              </to>
            </anchor>
          </controlPr>
        </control>
      </mc:Choice>
      <mc:Fallback>
        <control shapeId="3074" r:id="rId19" name="PrintPDF"/>
      </mc:Fallback>
    </mc:AlternateContent>
    <mc:AlternateContent xmlns:mc="http://schemas.openxmlformats.org/markup-compatibility/2006">
      <mc:Choice Requires="x14">
        <control shapeId="3073" r:id="rId21" name="PrintButton">
          <controlPr defaultSize="0" print="0" altText="" r:id="rId22">
            <anchor moveWithCells="1">
              <from>
                <xdr:col>10</xdr:col>
                <xdr:colOff>1533525</xdr:colOff>
                <xdr:row>16</xdr:row>
                <xdr:rowOff>38100</xdr:rowOff>
              </from>
              <to>
                <xdr:col>12</xdr:col>
                <xdr:colOff>9525</xdr:colOff>
                <xdr:row>18</xdr:row>
                <xdr:rowOff>28575</xdr:rowOff>
              </to>
            </anchor>
          </controlPr>
        </control>
      </mc:Choice>
      <mc:Fallback>
        <control shapeId="3073" r:id="rId21" name="Print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68"/>
  <sheetViews>
    <sheetView workbookViewId="0">
      <selection activeCell="B7" sqref="B7"/>
    </sheetView>
  </sheetViews>
  <sheetFormatPr defaultColWidth="9" defaultRowHeight="14.25"/>
  <cols>
    <col min="1" max="1" width="5.28515625" style="8" customWidth="1"/>
    <col min="2" max="2" width="28.7109375" style="7" customWidth="1"/>
    <col min="3" max="3" width="12.28515625" style="9" customWidth="1"/>
    <col min="4" max="4" width="7.42578125" style="9" customWidth="1"/>
    <col min="5" max="5" width="10.28515625" style="9" customWidth="1"/>
    <col min="6" max="6" width="10.28515625" style="10" customWidth="1"/>
    <col min="7" max="7" width="11.140625" style="11" customWidth="1"/>
    <col min="8" max="8" width="11.85546875" style="9" customWidth="1"/>
    <col min="9" max="9" width="12.5703125" style="12" customWidth="1"/>
    <col min="10" max="10" width="11.28515625" style="13" customWidth="1"/>
    <col min="11" max="11" width="24.5703125" style="13" customWidth="1"/>
    <col min="12" max="12" width="11.7109375" style="14" customWidth="1"/>
    <col min="13" max="13" width="17.28515625" style="14" customWidth="1"/>
    <col min="14" max="16384" width="9" style="9"/>
  </cols>
  <sheetData>
    <row r="1" spans="1:14" ht="28.5" customHeight="1">
      <c r="A1" s="64" t="str">
        <f>$K$4&amp;" "&amp;M3&amp;"采购单"</f>
        <v>上海渭源餐饮管理公司 水果类采购单</v>
      </c>
      <c r="B1" s="64" t="s">
        <v>0</v>
      </c>
      <c r="C1" s="64" t="s">
        <v>0</v>
      </c>
      <c r="D1" s="64" t="s">
        <v>0</v>
      </c>
      <c r="E1" s="64" t="s">
        <v>0</v>
      </c>
      <c r="F1" s="64" t="s">
        <v>0</v>
      </c>
      <c r="G1" s="64" t="s">
        <v>0</v>
      </c>
      <c r="H1" s="64" t="s">
        <v>0</v>
      </c>
      <c r="I1" s="36"/>
      <c r="J1" s="61" t="s">
        <v>602</v>
      </c>
      <c r="K1" s="61"/>
      <c r="L1" s="61"/>
      <c r="M1" s="61"/>
      <c r="N1" s="37"/>
    </row>
    <row r="2" spans="1:14" ht="14.25" customHeight="1">
      <c r="A2" s="64"/>
      <c r="B2" s="64"/>
      <c r="C2" s="64"/>
      <c r="D2" s="64"/>
      <c r="E2" s="64"/>
      <c r="F2" s="64"/>
      <c r="G2" s="64"/>
      <c r="H2" s="64"/>
      <c r="I2" s="38"/>
      <c r="J2" s="42" t="s">
        <v>1</v>
      </c>
      <c r="K2" s="49"/>
      <c r="L2" s="39" t="s">
        <v>2</v>
      </c>
      <c r="M2" s="40">
        <v>43618</v>
      </c>
    </row>
    <row r="3" spans="1:14" ht="15" customHeight="1">
      <c r="A3" s="62" t="str">
        <f>"编号:FH-"&amp;TEXT($M$2,"yyymmdd")&amp;TEXT(M6,"000000")</f>
        <v>编号:FH-20190602220523</v>
      </c>
      <c r="B3" s="62"/>
      <c r="C3" s="63" t="str">
        <f>"录单日期:"&amp;TEXT($M$2,"yyyy-mm-dd")</f>
        <v>录单日期:2019-06-02</v>
      </c>
      <c r="D3" s="63"/>
      <c r="E3" s="63"/>
      <c r="F3" s="63" t="str">
        <f>$L$7&amp;$M$7</f>
        <v>税号:</v>
      </c>
      <c r="G3" s="63"/>
      <c r="H3" s="63"/>
      <c r="I3" s="36"/>
      <c r="J3" s="42" t="s">
        <v>3</v>
      </c>
      <c r="K3" s="43" t="s">
        <v>4</v>
      </c>
      <c r="L3" s="39" t="s">
        <v>5</v>
      </c>
      <c r="M3" s="41" t="s">
        <v>36</v>
      </c>
    </row>
    <row r="4" spans="1:14" ht="15" customHeight="1">
      <c r="A4" s="63" t="str">
        <f>$J$4&amp;$K$4</f>
        <v>采购商:上海渭源餐饮管理公司</v>
      </c>
      <c r="B4" s="63"/>
      <c r="C4" s="63" t="str">
        <f>$L$4&amp;$M$4</f>
        <v>收货人:</v>
      </c>
      <c r="D4" s="63"/>
      <c r="E4" s="63"/>
      <c r="F4" s="63" t="str">
        <f>$L$5&amp;$M$5</f>
        <v>收货电话:</v>
      </c>
      <c r="G4" s="63"/>
      <c r="H4" s="63"/>
      <c r="I4" s="36"/>
      <c r="J4" s="42" t="s">
        <v>7</v>
      </c>
      <c r="K4" s="43" t="s">
        <v>8</v>
      </c>
      <c r="L4" s="42" t="s">
        <v>9</v>
      </c>
      <c r="M4" s="43"/>
    </row>
    <row r="5" spans="1:14" ht="15" customHeight="1">
      <c r="A5" s="63" t="str">
        <f>$J$7&amp;$K$7</f>
        <v>供应商:上海丰欢农业科技有限公司</v>
      </c>
      <c r="B5" s="63"/>
      <c r="C5" s="63" t="str">
        <f>$J$5&amp;$K$5</f>
        <v>采购商地址:</v>
      </c>
      <c r="D5" s="63"/>
      <c r="E5" s="63"/>
      <c r="F5" s="63" t="s">
        <v>0</v>
      </c>
      <c r="G5" s="63"/>
      <c r="H5" s="63"/>
      <c r="I5" s="36"/>
      <c r="J5" s="42" t="s">
        <v>10</v>
      </c>
      <c r="K5" s="43"/>
      <c r="L5" s="42" t="s">
        <v>11</v>
      </c>
      <c r="M5" s="44"/>
    </row>
    <row r="6" spans="1:14" ht="6" customHeight="1">
      <c r="A6" s="65" t="s">
        <v>0</v>
      </c>
      <c r="B6" s="65" t="s">
        <v>0</v>
      </c>
      <c r="C6" s="65" t="s">
        <v>0</v>
      </c>
      <c r="D6" s="65" t="s">
        <v>0</v>
      </c>
      <c r="E6" s="65" t="s">
        <v>0</v>
      </c>
      <c r="F6" s="65" t="s">
        <v>0</v>
      </c>
      <c r="G6" s="65" t="s">
        <v>0</v>
      </c>
      <c r="H6" s="65" t="s">
        <v>0</v>
      </c>
      <c r="I6" s="36"/>
      <c r="J6" s="42"/>
      <c r="K6" s="45"/>
      <c r="L6" s="39" t="s">
        <v>12</v>
      </c>
      <c r="M6" s="46" t="s">
        <v>603</v>
      </c>
    </row>
    <row r="7" spans="1:14" s="7" customFormat="1" ht="15.95" customHeight="1">
      <c r="A7" s="15" t="s">
        <v>13</v>
      </c>
      <c r="B7" s="16" t="s">
        <v>14</v>
      </c>
      <c r="C7" s="16" t="s">
        <v>15</v>
      </c>
      <c r="D7" s="16" t="s">
        <v>16</v>
      </c>
      <c r="E7" s="16" t="s">
        <v>17</v>
      </c>
      <c r="F7" s="17" t="s">
        <v>18</v>
      </c>
      <c r="G7" s="18" t="s">
        <v>19</v>
      </c>
      <c r="H7" s="16" t="s">
        <v>20</v>
      </c>
      <c r="I7" s="47" t="s">
        <v>21</v>
      </c>
      <c r="J7" s="42" t="s">
        <v>22</v>
      </c>
      <c r="K7" s="42" t="s">
        <v>23</v>
      </c>
      <c r="L7" s="42" t="s">
        <v>24</v>
      </c>
      <c r="M7" s="44"/>
    </row>
    <row r="8" spans="1:14" ht="15.95" customHeight="1">
      <c r="A8" s="19">
        <v>1</v>
      </c>
      <c r="B8" s="20"/>
      <c r="C8" s="21"/>
      <c r="D8" s="21"/>
      <c r="E8" s="22"/>
      <c r="F8" s="23"/>
      <c r="G8" s="24">
        <f t="shared" ref="G8:G19" si="0">E8*F8</f>
        <v>0</v>
      </c>
      <c r="H8" s="21"/>
      <c r="I8" s="36">
        <v>1</v>
      </c>
      <c r="J8" s="61" t="str">
        <f>"&lt;   当前打印页数:"&amp;IF(COUNTA(水果类!$B$27:$B$32)&gt;0,"共 2 页   &gt;","共 1 页   &gt;")</f>
        <v>&lt;   当前打印页数:共 1 页   &gt;</v>
      </c>
      <c r="K8" s="61"/>
      <c r="L8" s="61"/>
      <c r="M8" s="61"/>
    </row>
    <row r="9" spans="1:14" ht="15.95" customHeight="1">
      <c r="A9" s="19">
        <v>2</v>
      </c>
      <c r="B9" s="20"/>
      <c r="C9" s="21"/>
      <c r="D9" s="21"/>
      <c r="E9" s="22"/>
      <c r="F9" s="23"/>
      <c r="G9" s="24">
        <f t="shared" si="0"/>
        <v>0</v>
      </c>
      <c r="H9" s="21"/>
      <c r="I9" s="36">
        <v>2</v>
      </c>
      <c r="J9" s="61"/>
      <c r="K9" s="61"/>
      <c r="L9" s="61"/>
      <c r="M9" s="61"/>
    </row>
    <row r="10" spans="1:14" ht="15.95" customHeight="1">
      <c r="A10" s="19">
        <v>3</v>
      </c>
      <c r="B10" s="20"/>
      <c r="C10" s="21"/>
      <c r="D10" s="21"/>
      <c r="E10" s="22"/>
      <c r="F10" s="23"/>
      <c r="G10" s="24">
        <f t="shared" si="0"/>
        <v>0</v>
      </c>
      <c r="H10" s="21"/>
      <c r="I10" s="36">
        <v>3</v>
      </c>
      <c r="J10" s="61" t="str">
        <f>"&lt;   第一页有数据: "&amp;COUNTA(水果类!$B$8:$B$19)&amp;"/12 行   &gt;"</f>
        <v>&lt;   第一页有数据: 0/12 行   &gt;</v>
      </c>
      <c r="K10" s="61"/>
      <c r="L10" s="61"/>
      <c r="M10" s="61"/>
    </row>
    <row r="11" spans="1:14" ht="15.95" customHeight="1">
      <c r="A11" s="19">
        <v>4</v>
      </c>
      <c r="B11" s="20"/>
      <c r="C11" s="21"/>
      <c r="D11" s="21"/>
      <c r="E11" s="22"/>
      <c r="F11" s="23"/>
      <c r="G11" s="24">
        <f t="shared" si="0"/>
        <v>0</v>
      </c>
      <c r="H11" s="21"/>
      <c r="I11" s="36">
        <v>4</v>
      </c>
      <c r="J11" s="61"/>
      <c r="K11" s="61"/>
      <c r="L11" s="61"/>
      <c r="M11" s="61"/>
    </row>
    <row r="12" spans="1:14" ht="15.95" customHeight="1">
      <c r="A12" s="19">
        <v>5</v>
      </c>
      <c r="B12" s="20"/>
      <c r="C12" s="21"/>
      <c r="D12" s="21"/>
      <c r="E12" s="22"/>
      <c r="F12" s="23"/>
      <c r="G12" s="24">
        <f t="shared" si="0"/>
        <v>0</v>
      </c>
      <c r="H12" s="21"/>
      <c r="I12" s="36">
        <v>5</v>
      </c>
      <c r="J12" s="61" t="str">
        <f>"&lt;   第二页有数据: "&amp;COUNTA(水果类!$B$27:$B$38)&amp;"/12 行   &gt;"</f>
        <v>&lt;   第二页有数据: 0/12 行   &gt;</v>
      </c>
      <c r="K12" s="61"/>
      <c r="L12" s="61"/>
      <c r="M12" s="61"/>
    </row>
    <row r="13" spans="1:14" ht="15.95" customHeight="1">
      <c r="A13" s="19">
        <v>6</v>
      </c>
      <c r="B13" s="20"/>
      <c r="C13" s="21"/>
      <c r="D13" s="21"/>
      <c r="E13" s="22"/>
      <c r="F13" s="23"/>
      <c r="G13" s="24">
        <f t="shared" si="0"/>
        <v>0</v>
      </c>
      <c r="H13" s="21"/>
      <c r="I13" s="36">
        <v>6</v>
      </c>
      <c r="J13" s="61"/>
      <c r="K13" s="61"/>
      <c r="L13" s="61"/>
      <c r="M13" s="61"/>
    </row>
    <row r="14" spans="1:14" ht="15.95" customHeight="1">
      <c r="A14" s="19">
        <v>7</v>
      </c>
      <c r="B14" s="20"/>
      <c r="C14" s="21"/>
      <c r="D14" s="21"/>
      <c r="E14" s="22"/>
      <c r="F14" s="23"/>
      <c r="G14" s="24">
        <f t="shared" si="0"/>
        <v>0</v>
      </c>
      <c r="H14" s="21"/>
      <c r="I14" s="36">
        <v>7</v>
      </c>
      <c r="J14" s="61" t="str">
        <f>"&lt;  "&amp;F22&amp;"  &gt;"</f>
        <v>&lt;  实收总额:      元  &gt;</v>
      </c>
      <c r="K14" s="61"/>
      <c r="L14" s="61"/>
      <c r="M14" s="61"/>
    </row>
    <row r="15" spans="1:14" ht="15.95" customHeight="1">
      <c r="A15" s="19">
        <v>8</v>
      </c>
      <c r="B15" s="16"/>
      <c r="C15" s="21"/>
      <c r="D15" s="21"/>
      <c r="E15" s="22"/>
      <c r="F15" s="23"/>
      <c r="G15" s="24">
        <f t="shared" si="0"/>
        <v>0</v>
      </c>
      <c r="H15" s="21"/>
      <c r="I15" s="36">
        <v>8</v>
      </c>
      <c r="J15" s="61"/>
      <c r="K15" s="61"/>
      <c r="L15" s="61"/>
      <c r="M15" s="61"/>
    </row>
    <row r="16" spans="1:14" ht="15.95" customHeight="1">
      <c r="A16" s="19">
        <v>9</v>
      </c>
      <c r="B16" s="16"/>
      <c r="C16" s="21"/>
      <c r="D16" s="21"/>
      <c r="E16" s="22"/>
      <c r="F16" s="23"/>
      <c r="G16" s="24">
        <f t="shared" si="0"/>
        <v>0</v>
      </c>
      <c r="H16" s="21"/>
      <c r="I16" s="36">
        <v>9</v>
      </c>
      <c r="J16" s="66" t="str">
        <f>TEXT($M$2,"yyyymmdd")&amp;"-"&amp;$M$6</f>
        <v>20190602-220523</v>
      </c>
      <c r="K16" s="66"/>
      <c r="L16" s="48" t="s">
        <v>25</v>
      </c>
      <c r="M16" s="60" t="str">
        <f>IF(COUNTA(水果类!$B$27:$B$32)&gt;0,"2","1")</f>
        <v>1</v>
      </c>
    </row>
    <row r="17" spans="1:13" ht="15.95" customHeight="1">
      <c r="A17" s="19">
        <v>10</v>
      </c>
      <c r="B17" s="16"/>
      <c r="C17" s="21"/>
      <c r="D17" s="21"/>
      <c r="E17" s="22"/>
      <c r="F17" s="23"/>
      <c r="G17" s="24">
        <f t="shared" si="0"/>
        <v>0</v>
      </c>
      <c r="H17" s="21"/>
      <c r="I17" s="36">
        <v>10</v>
      </c>
      <c r="J17" s="49"/>
      <c r="K17" s="49"/>
      <c r="L17" s="50"/>
      <c r="M17" s="50"/>
    </row>
    <row r="18" spans="1:13" ht="15.95" customHeight="1">
      <c r="A18" s="19">
        <v>11</v>
      </c>
      <c r="B18" s="16"/>
      <c r="C18" s="21"/>
      <c r="D18" s="21"/>
      <c r="E18" s="22"/>
      <c r="F18" s="23"/>
      <c r="G18" s="24">
        <f t="shared" si="0"/>
        <v>0</v>
      </c>
      <c r="H18" s="21"/>
      <c r="I18" s="36">
        <v>11</v>
      </c>
      <c r="J18" s="49"/>
      <c r="K18" s="51" t="s">
        <v>26</v>
      </c>
      <c r="L18" s="50"/>
      <c r="M18" s="50"/>
    </row>
    <row r="19" spans="1:13" ht="15.95" customHeight="1">
      <c r="A19" s="19">
        <v>12</v>
      </c>
      <c r="B19" s="16"/>
      <c r="C19" s="21"/>
      <c r="D19" s="21"/>
      <c r="E19" s="22"/>
      <c r="F19" s="23"/>
      <c r="G19" s="24">
        <f t="shared" si="0"/>
        <v>0</v>
      </c>
      <c r="H19" s="21"/>
      <c r="I19" s="36">
        <v>12</v>
      </c>
      <c r="J19" s="49"/>
      <c r="K19" s="49"/>
      <c r="L19" s="50"/>
      <c r="M19" s="50"/>
    </row>
    <row r="20" spans="1:13" ht="15.95" customHeight="1">
      <c r="A20" s="19"/>
      <c r="B20" s="25" t="s">
        <v>27</v>
      </c>
      <c r="C20" s="26"/>
      <c r="D20" s="26"/>
      <c r="E20" s="27">
        <f>SUM($E$8:$E$19)</f>
        <v>0</v>
      </c>
      <c r="F20" s="28"/>
      <c r="G20" s="24">
        <f>SUM(G8:G19)</f>
        <v>0</v>
      </c>
      <c r="H20" s="26" t="s">
        <v>0</v>
      </c>
      <c r="I20" s="36"/>
      <c r="J20" s="49"/>
      <c r="K20" s="49"/>
      <c r="L20" s="50"/>
      <c r="M20" s="50"/>
    </row>
    <row r="21" spans="1:13" ht="8.1" customHeight="1">
      <c r="A21" s="73" t="s">
        <v>0</v>
      </c>
      <c r="B21" s="73"/>
      <c r="C21" s="73" t="s">
        <v>0</v>
      </c>
      <c r="D21" s="73" t="s">
        <v>0</v>
      </c>
      <c r="E21" s="73" t="s">
        <v>0</v>
      </c>
      <c r="F21" s="73" t="s">
        <v>0</v>
      </c>
      <c r="G21" s="73" t="s">
        <v>0</v>
      </c>
      <c r="H21" s="73" t="s">
        <v>0</v>
      </c>
      <c r="I21" s="36"/>
      <c r="J21" s="49"/>
      <c r="K21" s="49"/>
      <c r="L21" s="50"/>
      <c r="M21" s="50"/>
    </row>
    <row r="22" spans="1:13" ht="18" customHeight="1">
      <c r="A22" s="67" t="str">
        <f>$J$3&amp;$K$3</f>
        <v>制单人:齐凤云(13817497731)</v>
      </c>
      <c r="B22" s="67"/>
      <c r="C22" s="67" t="str">
        <f>"本页实收金额: "&amp;TEXT(SUMPRODUCT($E$8:$E$19,$F$8:$F$19),"0.00")&amp;" 元"</f>
        <v>本页实收金额: 0.00 元</v>
      </c>
      <c r="D22" s="67"/>
      <c r="E22" s="67"/>
      <c r="F22" s="67" t="str">
        <f>"实收总额: "&amp;TEXT(IF(G20+G39=0,"    ",G20+G39),"0.00")&amp;" 元"</f>
        <v>实收总额:      元</v>
      </c>
      <c r="G22" s="67"/>
      <c r="H22" s="67"/>
      <c r="I22" s="36"/>
      <c r="J22" s="69" t="s">
        <v>28</v>
      </c>
      <c r="K22" s="69"/>
      <c r="L22" s="69"/>
      <c r="M22" s="69"/>
    </row>
    <row r="23" spans="1:13" ht="18" customHeight="1">
      <c r="A23" s="67" t="s">
        <v>29</v>
      </c>
      <c r="B23" s="67"/>
      <c r="C23" s="67" t="s">
        <v>30</v>
      </c>
      <c r="D23" s="67"/>
      <c r="E23" s="67"/>
      <c r="F23" s="67"/>
      <c r="G23" s="67"/>
      <c r="H23" s="67"/>
      <c r="I23" s="36"/>
      <c r="J23" s="69"/>
      <c r="K23" s="69"/>
      <c r="L23" s="69"/>
      <c r="M23" s="69"/>
    </row>
    <row r="24" spans="1:13" ht="18" customHeight="1">
      <c r="A24" s="68" t="s">
        <v>31</v>
      </c>
      <c r="B24" s="68"/>
      <c r="C24" s="68" t="s">
        <v>0</v>
      </c>
      <c r="D24" s="68" t="s">
        <v>0</v>
      </c>
      <c r="E24" s="68" t="s">
        <v>0</v>
      </c>
      <c r="F24" s="68" t="s">
        <v>0</v>
      </c>
      <c r="G24" s="68" t="s">
        <v>0</v>
      </c>
      <c r="H24" s="68" t="s">
        <v>0</v>
      </c>
      <c r="I24" s="36"/>
      <c r="J24" s="70"/>
      <c r="K24" s="71"/>
      <c r="L24" s="71"/>
      <c r="M24" s="71"/>
    </row>
    <row r="25" spans="1:13" ht="8.1" customHeight="1">
      <c r="A25" s="72"/>
      <c r="B25" s="72"/>
      <c r="C25" s="72"/>
      <c r="D25" s="72"/>
      <c r="E25" s="72"/>
      <c r="F25" s="72"/>
      <c r="G25" s="72"/>
      <c r="H25" s="72"/>
      <c r="I25" s="36"/>
      <c r="J25" s="71"/>
      <c r="K25" s="71"/>
      <c r="L25" s="71"/>
      <c r="M25" s="71"/>
    </row>
    <row r="26" spans="1:13" ht="15.95" customHeight="1">
      <c r="A26" s="15" t="s">
        <v>13</v>
      </c>
      <c r="B26" s="16" t="s">
        <v>14</v>
      </c>
      <c r="C26" s="16" t="s">
        <v>15</v>
      </c>
      <c r="D26" s="16" t="s">
        <v>16</v>
      </c>
      <c r="E26" s="16" t="s">
        <v>17</v>
      </c>
      <c r="F26" s="17" t="s">
        <v>18</v>
      </c>
      <c r="G26" s="18" t="s">
        <v>19</v>
      </c>
      <c r="H26" s="16" t="s">
        <v>20</v>
      </c>
      <c r="I26" s="36"/>
      <c r="J26" s="52"/>
      <c r="K26" s="52"/>
      <c r="L26" s="53"/>
      <c r="M26" s="53"/>
    </row>
    <row r="27" spans="1:13" ht="15.95" customHeight="1">
      <c r="A27" s="19">
        <v>13</v>
      </c>
      <c r="B27" s="16"/>
      <c r="C27" s="21"/>
      <c r="D27" s="21"/>
      <c r="E27" s="22"/>
      <c r="F27" s="29"/>
      <c r="G27" s="24">
        <f>E27*F27</f>
        <v>0</v>
      </c>
      <c r="H27" s="21"/>
      <c r="I27" s="36">
        <v>1</v>
      </c>
      <c r="J27" s="52"/>
      <c r="K27" s="52"/>
      <c r="L27" s="53"/>
      <c r="M27" s="53"/>
    </row>
    <row r="28" spans="1:13" ht="15.95" customHeight="1">
      <c r="A28" s="19">
        <v>14</v>
      </c>
      <c r="B28" s="16"/>
      <c r="C28" s="21"/>
      <c r="D28" s="21"/>
      <c r="E28" s="22"/>
      <c r="F28" s="29"/>
      <c r="G28" s="24">
        <f t="shared" ref="G28:G38" si="1">E28*F28</f>
        <v>0</v>
      </c>
      <c r="H28" s="21"/>
      <c r="I28" s="36">
        <v>2</v>
      </c>
      <c r="J28" s="52"/>
      <c r="K28" s="52"/>
      <c r="L28" s="53"/>
      <c r="M28" s="53"/>
    </row>
    <row r="29" spans="1:13" ht="15.95" customHeight="1">
      <c r="A29" s="19">
        <v>15</v>
      </c>
      <c r="B29" s="16"/>
      <c r="C29" s="21"/>
      <c r="D29" s="21"/>
      <c r="E29" s="22"/>
      <c r="F29" s="29"/>
      <c r="G29" s="24">
        <f t="shared" si="1"/>
        <v>0</v>
      </c>
      <c r="H29" s="21"/>
      <c r="I29" s="36">
        <v>3</v>
      </c>
      <c r="J29" s="52"/>
      <c r="K29" s="52"/>
      <c r="L29" s="53"/>
      <c r="M29" s="53"/>
    </row>
    <row r="30" spans="1:13" ht="15.95" customHeight="1">
      <c r="A30" s="19">
        <v>16</v>
      </c>
      <c r="B30" s="16"/>
      <c r="C30" s="21"/>
      <c r="D30" s="21"/>
      <c r="E30" s="22"/>
      <c r="F30" s="29"/>
      <c r="G30" s="24">
        <f t="shared" si="1"/>
        <v>0</v>
      </c>
      <c r="H30" s="21"/>
      <c r="I30" s="36">
        <v>4</v>
      </c>
      <c r="J30" s="52"/>
      <c r="K30" s="52"/>
      <c r="L30" s="53"/>
      <c r="M30" s="53"/>
    </row>
    <row r="31" spans="1:13" ht="15.95" customHeight="1">
      <c r="A31" s="19">
        <v>17</v>
      </c>
      <c r="B31" s="16"/>
      <c r="C31" s="21"/>
      <c r="D31" s="21"/>
      <c r="E31" s="22"/>
      <c r="F31" s="29"/>
      <c r="G31" s="24">
        <f t="shared" si="1"/>
        <v>0</v>
      </c>
      <c r="H31" s="21"/>
      <c r="I31" s="36">
        <v>5</v>
      </c>
      <c r="J31" s="52"/>
      <c r="K31" s="52"/>
      <c r="L31" s="53"/>
      <c r="M31" s="53"/>
    </row>
    <row r="32" spans="1:13" ht="15.95" customHeight="1">
      <c r="A32" s="19">
        <v>18</v>
      </c>
      <c r="B32" s="16"/>
      <c r="C32" s="21"/>
      <c r="D32" s="21"/>
      <c r="E32" s="22"/>
      <c r="F32" s="29"/>
      <c r="G32" s="24">
        <f t="shared" si="1"/>
        <v>0</v>
      </c>
      <c r="H32" s="21"/>
      <c r="I32" s="36">
        <v>6</v>
      </c>
      <c r="J32" s="52"/>
      <c r="K32" s="52"/>
      <c r="L32" s="53"/>
      <c r="M32" s="53"/>
    </row>
    <row r="33" spans="1:13" ht="15.95" customHeight="1">
      <c r="A33" s="19">
        <v>19</v>
      </c>
      <c r="B33" s="16"/>
      <c r="C33" s="21"/>
      <c r="D33" s="21"/>
      <c r="E33" s="22"/>
      <c r="F33" s="29"/>
      <c r="G33" s="24">
        <f t="shared" si="1"/>
        <v>0</v>
      </c>
      <c r="H33" s="21"/>
      <c r="I33" s="36">
        <v>7</v>
      </c>
      <c r="J33" s="52"/>
      <c r="K33" s="52"/>
      <c r="L33" s="53"/>
      <c r="M33" s="53"/>
    </row>
    <row r="34" spans="1:13" ht="15.95" customHeight="1">
      <c r="A34" s="19">
        <v>20</v>
      </c>
      <c r="B34" s="16"/>
      <c r="C34" s="21"/>
      <c r="D34" s="21"/>
      <c r="E34" s="22"/>
      <c r="F34" s="29"/>
      <c r="G34" s="24">
        <f t="shared" si="1"/>
        <v>0</v>
      </c>
      <c r="H34" s="21"/>
      <c r="I34" s="36">
        <v>8</v>
      </c>
      <c r="J34" s="52"/>
      <c r="K34" s="52"/>
      <c r="L34" s="53"/>
      <c r="M34" s="53"/>
    </row>
    <row r="35" spans="1:13" ht="15.95" customHeight="1">
      <c r="A35" s="19">
        <v>21</v>
      </c>
      <c r="B35" s="16"/>
      <c r="C35" s="21"/>
      <c r="D35" s="21"/>
      <c r="E35" s="22"/>
      <c r="F35" s="29"/>
      <c r="G35" s="24">
        <f t="shared" si="1"/>
        <v>0</v>
      </c>
      <c r="H35" s="21"/>
      <c r="I35" s="36">
        <v>9</v>
      </c>
      <c r="J35" s="52"/>
      <c r="K35" s="52"/>
      <c r="L35" s="53"/>
      <c r="M35" s="53"/>
    </row>
    <row r="36" spans="1:13" ht="15.95" customHeight="1">
      <c r="A36" s="19">
        <v>22</v>
      </c>
      <c r="B36" s="16"/>
      <c r="C36" s="21"/>
      <c r="D36" s="21"/>
      <c r="E36" s="22"/>
      <c r="F36" s="29"/>
      <c r="G36" s="24">
        <f t="shared" si="1"/>
        <v>0</v>
      </c>
      <c r="H36" s="21"/>
      <c r="I36" s="36">
        <v>10</v>
      </c>
      <c r="J36" s="52"/>
      <c r="K36" s="52"/>
      <c r="L36" s="53"/>
      <c r="M36" s="53"/>
    </row>
    <row r="37" spans="1:13" ht="15.95" customHeight="1">
      <c r="A37" s="19">
        <v>23</v>
      </c>
      <c r="B37" s="16"/>
      <c r="C37" s="21"/>
      <c r="D37" s="21"/>
      <c r="E37" s="22"/>
      <c r="F37" s="29"/>
      <c r="G37" s="24">
        <f t="shared" si="1"/>
        <v>0</v>
      </c>
      <c r="H37" s="21"/>
      <c r="I37" s="36">
        <v>11</v>
      </c>
      <c r="J37" s="52"/>
      <c r="K37" s="52"/>
      <c r="L37" s="53"/>
      <c r="M37" s="53"/>
    </row>
    <row r="38" spans="1:13" ht="15.95" customHeight="1">
      <c r="A38" s="19">
        <v>24</v>
      </c>
      <c r="B38" s="16"/>
      <c r="C38" s="21"/>
      <c r="D38" s="21"/>
      <c r="E38" s="22"/>
      <c r="F38" s="29"/>
      <c r="G38" s="24">
        <f t="shared" si="1"/>
        <v>0</v>
      </c>
      <c r="H38" s="21"/>
      <c r="I38" s="36">
        <v>12</v>
      </c>
      <c r="J38" s="52"/>
      <c r="K38" s="52"/>
      <c r="L38" s="53"/>
      <c r="M38" s="53"/>
    </row>
    <row r="39" spans="1:13" ht="15.95" customHeight="1">
      <c r="A39" s="19"/>
      <c r="B39" s="25" t="str">
        <f>"本页合计"</f>
        <v>本页合计</v>
      </c>
      <c r="C39" s="25"/>
      <c r="D39" s="25"/>
      <c r="E39" s="27">
        <f>SUM($E$27:$E$38)</f>
        <v>0</v>
      </c>
      <c r="F39" s="30"/>
      <c r="G39" s="24">
        <f>SUM(G27:G38)</f>
        <v>0</v>
      </c>
      <c r="H39" s="26" t="s">
        <v>0</v>
      </c>
      <c r="I39" s="36"/>
      <c r="J39" s="52"/>
      <c r="K39" s="52"/>
      <c r="L39" s="53"/>
      <c r="M39" s="53"/>
    </row>
    <row r="40" spans="1:13" ht="8.1" customHeight="1">
      <c r="A40" s="73" t="s">
        <v>0</v>
      </c>
      <c r="B40" s="73" t="s">
        <v>0</v>
      </c>
      <c r="C40" s="73" t="s">
        <v>0</v>
      </c>
      <c r="D40" s="73" t="s">
        <v>0</v>
      </c>
      <c r="E40" s="73" t="s">
        <v>0</v>
      </c>
      <c r="F40" s="73" t="s">
        <v>0</v>
      </c>
      <c r="G40" s="73" t="s">
        <v>0</v>
      </c>
      <c r="H40" s="73" t="s">
        <v>0</v>
      </c>
      <c r="I40" s="36"/>
      <c r="J40" s="52"/>
      <c r="K40" s="52"/>
      <c r="L40" s="53"/>
      <c r="M40" s="53"/>
    </row>
    <row r="41" spans="1:13" ht="18" customHeight="1">
      <c r="A41" s="67" t="str">
        <f>$A$22</f>
        <v>制单人:齐凤云(13817497731)</v>
      </c>
      <c r="B41" s="67" t="s">
        <v>0</v>
      </c>
      <c r="C41" s="67" t="str">
        <f>"本页实收金额: "&amp;TEXT(SUMPRODUCT($E$27:$E$38,$F$27:$F$38),"0.00")&amp;" 元"</f>
        <v>本页实收金额: 0.00 元</v>
      </c>
      <c r="D41" s="67"/>
      <c r="E41" s="67"/>
      <c r="F41" s="67" t="str">
        <f>$F$22</f>
        <v>实收总额:      元</v>
      </c>
      <c r="G41" s="67"/>
      <c r="H41" s="67"/>
      <c r="I41" s="36"/>
      <c r="J41" s="52"/>
      <c r="K41" s="52"/>
      <c r="L41" s="53"/>
      <c r="M41" s="53"/>
    </row>
    <row r="42" spans="1:13" ht="18" customHeight="1">
      <c r="A42" s="67" t="s">
        <v>29</v>
      </c>
      <c r="B42" s="67"/>
      <c r="C42" s="67" t="s">
        <v>30</v>
      </c>
      <c r="D42" s="67"/>
      <c r="E42" s="67"/>
      <c r="F42" s="67"/>
      <c r="G42" s="67"/>
      <c r="H42" s="67"/>
      <c r="I42" s="36"/>
      <c r="J42" s="52"/>
      <c r="K42" s="52"/>
      <c r="L42" s="53"/>
      <c r="M42" s="53"/>
    </row>
    <row r="43" spans="1:13" ht="18" customHeight="1">
      <c r="A43" s="68" t="str">
        <f>"谢谢您的惠顾，我们会竭诚为您提供最好的商品和服务。"</f>
        <v>谢谢您的惠顾，我们会竭诚为您提供最好的商品和服务。</v>
      </c>
      <c r="B43" s="68" t="s">
        <v>0</v>
      </c>
      <c r="C43" s="68" t="s">
        <v>0</v>
      </c>
      <c r="D43" s="68" t="s">
        <v>0</v>
      </c>
      <c r="E43" s="68" t="s">
        <v>0</v>
      </c>
      <c r="F43" s="68" t="s">
        <v>0</v>
      </c>
      <c r="G43" s="68" t="s">
        <v>0</v>
      </c>
      <c r="H43" s="68" t="s">
        <v>0</v>
      </c>
      <c r="I43" s="36"/>
      <c r="J43" s="52"/>
      <c r="K43" s="52"/>
      <c r="L43" s="53"/>
      <c r="M43" s="53"/>
    </row>
    <row r="44" spans="1:13" ht="8.1" customHeight="1">
      <c r="A44" s="31"/>
      <c r="B44" s="32"/>
      <c r="C44" s="33"/>
      <c r="D44" s="33"/>
      <c r="E44" s="33"/>
      <c r="F44" s="34"/>
      <c r="G44" s="35"/>
      <c r="H44" s="33"/>
      <c r="I44" s="36"/>
      <c r="J44" s="52"/>
      <c r="K44" s="52"/>
      <c r="L44" s="53"/>
      <c r="M44" s="53"/>
    </row>
    <row r="45" spans="1:13" ht="18" customHeight="1">
      <c r="A45" s="31"/>
      <c r="B45" s="32"/>
      <c r="C45" s="33"/>
      <c r="D45" s="33"/>
      <c r="E45" s="33"/>
      <c r="F45" s="34"/>
      <c r="G45" s="35"/>
      <c r="H45" s="33"/>
    </row>
    <row r="46" spans="1:13" ht="18" customHeight="1">
      <c r="A46" s="31"/>
      <c r="B46" s="32"/>
      <c r="C46" s="33"/>
      <c r="D46" s="33"/>
      <c r="E46" s="33"/>
      <c r="F46" s="34"/>
      <c r="G46" s="35"/>
      <c r="H46" s="33"/>
    </row>
    <row r="47" spans="1:13" ht="15" customHeight="1">
      <c r="A47" s="31"/>
      <c r="B47" s="32"/>
      <c r="C47" s="33"/>
      <c r="D47" s="33"/>
      <c r="E47" s="33"/>
      <c r="F47" s="34"/>
      <c r="G47" s="35"/>
      <c r="H47" s="33"/>
    </row>
    <row r="48" spans="1:13" ht="18" customHeight="1">
      <c r="A48" s="31"/>
      <c r="B48" s="32"/>
      <c r="C48" s="33"/>
      <c r="D48" s="33"/>
      <c r="E48" s="33"/>
      <c r="F48" s="34"/>
      <c r="G48" s="35"/>
      <c r="H48" s="33"/>
    </row>
    <row r="49" spans="1:8" ht="15" customHeight="1">
      <c r="A49" s="31"/>
      <c r="B49" s="32"/>
      <c r="C49" s="33"/>
      <c r="D49" s="33"/>
      <c r="E49" s="33"/>
      <c r="F49" s="34"/>
      <c r="G49" s="35"/>
      <c r="H49" s="33"/>
    </row>
    <row r="50" spans="1:8">
      <c r="A50" s="31"/>
      <c r="B50" s="32"/>
      <c r="C50" s="33"/>
      <c r="D50" s="33"/>
      <c r="E50" s="33"/>
      <c r="F50" s="34"/>
      <c r="G50" s="35"/>
      <c r="H50" s="33"/>
    </row>
    <row r="51" spans="1:8">
      <c r="A51" s="31"/>
      <c r="B51" s="32"/>
      <c r="C51" s="33"/>
      <c r="D51" s="33"/>
      <c r="E51" s="33"/>
      <c r="F51" s="34"/>
      <c r="G51" s="35"/>
      <c r="H51" s="33"/>
    </row>
    <row r="52" spans="1:8">
      <c r="A52" s="31"/>
      <c r="B52" s="32"/>
      <c r="C52" s="33"/>
      <c r="D52" s="33"/>
      <c r="E52" s="33"/>
      <c r="F52" s="34"/>
      <c r="G52" s="35"/>
      <c r="H52" s="33"/>
    </row>
    <row r="53" spans="1:8">
      <c r="A53" s="31"/>
      <c r="B53" s="32"/>
      <c r="C53" s="33"/>
      <c r="D53" s="33"/>
      <c r="E53" s="33"/>
      <c r="F53" s="34"/>
      <c r="G53" s="35"/>
      <c r="H53" s="33"/>
    </row>
    <row r="54" spans="1:8">
      <c r="A54" s="31"/>
      <c r="B54" s="32"/>
      <c r="C54" s="33"/>
      <c r="D54" s="33"/>
      <c r="E54" s="33"/>
      <c r="F54" s="34"/>
      <c r="G54" s="35"/>
      <c r="H54" s="33"/>
    </row>
    <row r="55" spans="1:8">
      <c r="A55" s="31"/>
      <c r="B55" s="32"/>
      <c r="C55" s="33"/>
      <c r="D55" s="33"/>
      <c r="E55" s="33"/>
      <c r="F55" s="34"/>
      <c r="G55" s="35"/>
      <c r="H55" s="33"/>
    </row>
    <row r="56" spans="1:8">
      <c r="A56" s="31"/>
      <c r="B56" s="32"/>
      <c r="C56" s="33"/>
      <c r="D56" s="33"/>
      <c r="E56" s="33"/>
      <c r="F56" s="34"/>
      <c r="G56" s="35"/>
      <c r="H56" s="33"/>
    </row>
    <row r="57" spans="1:8">
      <c r="A57" s="31"/>
      <c r="B57" s="32"/>
      <c r="C57" s="33"/>
      <c r="D57" s="33"/>
      <c r="E57" s="33"/>
      <c r="F57" s="34"/>
      <c r="G57" s="35"/>
      <c r="H57" s="33"/>
    </row>
    <row r="58" spans="1:8">
      <c r="A58" s="31"/>
      <c r="B58" s="32"/>
      <c r="C58" s="33"/>
      <c r="D58" s="33"/>
      <c r="E58" s="33"/>
      <c r="F58" s="34"/>
      <c r="G58" s="35"/>
      <c r="H58" s="33"/>
    </row>
    <row r="59" spans="1:8">
      <c r="A59" s="31"/>
      <c r="B59" s="32"/>
      <c r="C59" s="33"/>
      <c r="D59" s="33"/>
      <c r="E59" s="33"/>
      <c r="F59" s="34"/>
      <c r="G59" s="35"/>
      <c r="H59" s="33"/>
    </row>
    <row r="60" spans="1:8">
      <c r="A60" s="31"/>
      <c r="B60" s="32"/>
      <c r="C60" s="33"/>
      <c r="D60" s="33"/>
      <c r="E60" s="33"/>
      <c r="F60" s="34"/>
      <c r="G60" s="35"/>
      <c r="H60" s="33"/>
    </row>
    <row r="61" spans="1:8">
      <c r="A61" s="31"/>
      <c r="B61" s="32"/>
      <c r="C61" s="33"/>
      <c r="D61" s="33"/>
      <c r="E61" s="33"/>
      <c r="F61" s="34"/>
      <c r="G61" s="35"/>
      <c r="H61" s="33"/>
    </row>
    <row r="62" spans="1:8">
      <c r="A62" s="31"/>
      <c r="B62" s="32"/>
      <c r="C62" s="33"/>
      <c r="D62" s="33"/>
      <c r="E62" s="33"/>
      <c r="F62" s="34"/>
      <c r="G62" s="35"/>
      <c r="H62" s="33"/>
    </row>
    <row r="63" spans="1:8">
      <c r="A63" s="31"/>
      <c r="B63" s="32"/>
      <c r="C63" s="33"/>
      <c r="D63" s="33"/>
      <c r="E63" s="33"/>
      <c r="F63" s="34"/>
      <c r="G63" s="35"/>
      <c r="H63" s="33"/>
    </row>
    <row r="64" spans="1:8">
      <c r="A64" s="31"/>
      <c r="B64" s="32"/>
      <c r="C64" s="33"/>
      <c r="D64" s="33"/>
      <c r="E64" s="33"/>
      <c r="F64" s="34"/>
      <c r="G64" s="35"/>
      <c r="H64" s="33"/>
    </row>
    <row r="65" spans="1:8">
      <c r="A65" s="31"/>
      <c r="B65" s="32"/>
      <c r="C65" s="33"/>
      <c r="D65" s="33"/>
      <c r="E65" s="33"/>
      <c r="F65" s="34"/>
      <c r="G65" s="35"/>
      <c r="H65" s="33"/>
    </row>
    <row r="66" spans="1:8">
      <c r="A66" s="31"/>
      <c r="B66" s="32"/>
      <c r="C66" s="33"/>
      <c r="D66" s="33"/>
      <c r="E66" s="33"/>
      <c r="F66" s="34"/>
      <c r="G66" s="35"/>
      <c r="H66" s="33"/>
    </row>
    <row r="67" spans="1:8">
      <c r="A67" s="31"/>
      <c r="B67" s="32"/>
      <c r="C67" s="33"/>
      <c r="D67" s="33"/>
      <c r="E67" s="33"/>
      <c r="F67" s="34"/>
      <c r="G67" s="35"/>
      <c r="H67" s="33"/>
    </row>
    <row r="68" spans="1:8">
      <c r="A68" s="31"/>
      <c r="B68" s="32"/>
      <c r="C68" s="33"/>
      <c r="D68" s="33"/>
      <c r="E68" s="33"/>
      <c r="F68" s="34"/>
      <c r="G68" s="35"/>
      <c r="H68" s="33"/>
    </row>
  </sheetData>
  <sheetProtection algorithmName="SHA-512" hashValue="HXBT1VS2x5VVjux1lAy7dscQ/A4gq2m0XYf++DYtYxccHwUTgug9+S2sPK77A0w3T3VhnK59uFer3TJMOarLOw==" saltValue="AQVZLWYNn85qjrkEFwZU/g==" spinCount="100000" sheet="1" objects="1" scenarios="1" formatCells="0"/>
  <mergeCells count="36">
    <mergeCell ref="A42:B42"/>
    <mergeCell ref="C42:E42"/>
    <mergeCell ref="F42:H42"/>
    <mergeCell ref="A43:H43"/>
    <mergeCell ref="J10:M11"/>
    <mergeCell ref="J12:M13"/>
    <mergeCell ref="J14:M15"/>
    <mergeCell ref="J22:M23"/>
    <mergeCell ref="J24:M25"/>
    <mergeCell ref="A24:H24"/>
    <mergeCell ref="A25:H25"/>
    <mergeCell ref="A40:H40"/>
    <mergeCell ref="A41:B41"/>
    <mergeCell ref="C41:E41"/>
    <mergeCell ref="F41:H41"/>
    <mergeCell ref="A21:H21"/>
    <mergeCell ref="A22:B22"/>
    <mergeCell ref="C22:E22"/>
    <mergeCell ref="F22:H22"/>
    <mergeCell ref="A23:B23"/>
    <mergeCell ref="C23:E23"/>
    <mergeCell ref="F23:H23"/>
    <mergeCell ref="A5:B5"/>
    <mergeCell ref="C5:E5"/>
    <mergeCell ref="F5:H5"/>
    <mergeCell ref="A6:H6"/>
    <mergeCell ref="J16:K16"/>
    <mergeCell ref="J8:M9"/>
    <mergeCell ref="J1:M1"/>
    <mergeCell ref="A3:B3"/>
    <mergeCell ref="C3:E3"/>
    <mergeCell ref="F3:H3"/>
    <mergeCell ref="A4:B4"/>
    <mergeCell ref="C4:E4"/>
    <mergeCell ref="F4:H4"/>
    <mergeCell ref="A1:H2"/>
  </mergeCells>
  <phoneticPr fontId="27" type="noConversion"/>
  <dataValidations count="2">
    <dataValidation type="list" allowBlank="1" showInputMessage="1" sqref="M3">
      <formula1>"蔬菜类,荤菜类,调料类,水果类"</formula1>
    </dataValidation>
    <dataValidation type="list" allowBlank="1" showInputMessage="1" sqref="D8:D19 D27:D38">
      <formula1>"kg,g,斤,个,件,包,箱,桶,袋,吨,片,套,瓶,只,支,盒,条"</formula1>
    </dataValidation>
  </dataValidations>
  <printOptions horizontalCentered="1"/>
  <pageMargins left="0.196527777777778" right="0.196527777777778" top="0.118055555555556" bottom="0.118055555555556" header="0.31388888888888899" footer="0.31388888888888899"/>
  <pageSetup paperSize="8" fitToWidth="0" fitToHeight="0" orientation="portrait" horizontalDpi="1200" verticalDpi="1200"/>
  <headerFooter>
    <oddFooter>&amp;R&amp;"宋体,常规"第&amp;"Arial,常规" &amp;P &amp;"宋体,常规"页，共&amp;"Arial,常规" &amp;N &amp;"宋体,常规"页</oddFooter>
  </headerFooter>
  <rowBreaks count="1" manualBreakCount="1">
    <brk id="50" max="10" man="1"/>
  </rowBreaks>
  <colBreaks count="1" manualBreakCount="1">
    <brk id="8" max="1048575" man="1"/>
  </colBreaks>
  <drawing r:id="rId1"/>
  <legacyDrawing r:id="rId2"/>
  <controls>
    <mc:AlternateContent xmlns:mc="http://schemas.openxmlformats.org/markup-compatibility/2006">
      <mc:Choice Requires="x14">
        <control shapeId="5130" r:id="rId3" name="CommandButton1">
          <controlPr defaultSize="0" print="0" altText="" r:id="rId4">
            <anchor moveWithCells="1">
              <from>
                <xdr:col>10</xdr:col>
                <xdr:colOff>1552575</xdr:colOff>
                <xdr:row>18</xdr:row>
                <xdr:rowOff>114300</xdr:rowOff>
              </from>
              <to>
                <xdr:col>12</xdr:col>
                <xdr:colOff>28575</xdr:colOff>
                <xdr:row>21</xdr:row>
                <xdr:rowOff>9525</xdr:rowOff>
              </to>
            </anchor>
          </controlPr>
        </control>
      </mc:Choice>
      <mc:Fallback>
        <control shapeId="5130" r:id="rId3" name="CommandButton1"/>
      </mc:Fallback>
    </mc:AlternateContent>
    <mc:AlternateContent xmlns:mc="http://schemas.openxmlformats.org/markup-compatibility/2006">
      <mc:Choice Requires="x14">
        <control shapeId="5129" r:id="rId5" name="SaveMe">
          <controlPr defaultSize="0" altText="" r:id="rId6">
            <anchor moveWithCells="1">
              <from>
                <xdr:col>13</xdr:col>
                <xdr:colOff>28575</xdr:colOff>
                <xdr:row>0</xdr:row>
                <xdr:rowOff>9525</xdr:rowOff>
              </from>
              <to>
                <xdr:col>13</xdr:col>
                <xdr:colOff>285750</xdr:colOff>
                <xdr:row>0</xdr:row>
                <xdr:rowOff>161925</xdr:rowOff>
              </to>
            </anchor>
          </controlPr>
        </control>
      </mc:Choice>
      <mc:Fallback>
        <control shapeId="5129" r:id="rId5" name="SaveMe"/>
      </mc:Fallback>
    </mc:AlternateContent>
    <mc:AlternateContent xmlns:mc="http://schemas.openxmlformats.org/markup-compatibility/2006">
      <mc:Choice Requires="x14">
        <control shapeId="5128" r:id="rId7" name="HideSheet2">
          <controlPr defaultSize="0" print="0" altText="" r:id="rId8">
            <anchor moveWithCells="1">
              <from>
                <xdr:col>10</xdr:col>
                <xdr:colOff>371475</xdr:colOff>
                <xdr:row>18</xdr:row>
                <xdr:rowOff>114300</xdr:rowOff>
              </from>
              <to>
                <xdr:col>10</xdr:col>
                <xdr:colOff>1266825</xdr:colOff>
                <xdr:row>21</xdr:row>
                <xdr:rowOff>9525</xdr:rowOff>
              </to>
            </anchor>
          </controlPr>
        </control>
      </mc:Choice>
      <mc:Fallback>
        <control shapeId="5128" r:id="rId7" name="HideSheet2"/>
      </mc:Fallback>
    </mc:AlternateContent>
    <mc:AlternateContent xmlns:mc="http://schemas.openxmlformats.org/markup-compatibility/2006">
      <mc:Choice Requires="x14">
        <control shapeId="5127" r:id="rId9" name="ListBox1">
          <controlPr defaultSize="0" print="0" altText="" r:id="rId10">
            <anchor moveWithCells="1">
              <from>
                <xdr:col>13</xdr:col>
                <xdr:colOff>123825</xdr:colOff>
                <xdr:row>8</xdr:row>
                <xdr:rowOff>104775</xdr:rowOff>
              </from>
              <to>
                <xdr:col>17</xdr:col>
                <xdr:colOff>428625</xdr:colOff>
                <xdr:row>13</xdr:row>
                <xdr:rowOff>104775</xdr:rowOff>
              </to>
            </anchor>
          </controlPr>
        </control>
      </mc:Choice>
      <mc:Fallback>
        <control shapeId="5127" r:id="rId9" name="ListBox1"/>
      </mc:Fallback>
    </mc:AlternateContent>
    <mc:AlternateContent xmlns:mc="http://schemas.openxmlformats.org/markup-compatibility/2006">
      <mc:Choice Requires="x14">
        <control shapeId="5126" r:id="rId11" name="TextBox1">
          <controlPr defaultSize="0" print="0" altText="" linkedCell="B8" r:id="rId12">
            <anchor moveWithCells="1">
              <from>
                <xdr:col>13</xdr:col>
                <xdr:colOff>123825</xdr:colOff>
                <xdr:row>7</xdr:row>
                <xdr:rowOff>0</xdr:rowOff>
              </from>
              <to>
                <xdr:col>17</xdr:col>
                <xdr:colOff>428625</xdr:colOff>
                <xdr:row>8</xdr:row>
                <xdr:rowOff>104775</xdr:rowOff>
              </to>
            </anchor>
          </controlPr>
        </control>
      </mc:Choice>
      <mc:Fallback>
        <control shapeId="5126" r:id="rId11" name="TextBox1"/>
      </mc:Fallback>
    </mc:AlternateContent>
    <mc:AlternateContent xmlns:mc="http://schemas.openxmlformats.org/markup-compatibility/2006">
      <mc:Choice Requires="x14">
        <control shapeId="5125" r:id="rId13" name="OpenPath">
          <controlPr defaultSize="0" print="0" altText="" r:id="rId14">
            <anchor moveWithCells="1">
              <from>
                <xdr:col>9</xdr:col>
                <xdr:colOff>19050</xdr:colOff>
                <xdr:row>16</xdr:row>
                <xdr:rowOff>38100</xdr:rowOff>
              </from>
              <to>
                <xdr:col>10</xdr:col>
                <xdr:colOff>161925</xdr:colOff>
                <xdr:row>18</xdr:row>
                <xdr:rowOff>28575</xdr:rowOff>
              </to>
            </anchor>
          </controlPr>
        </control>
      </mc:Choice>
      <mc:Fallback>
        <control shapeId="5125" r:id="rId13" name="OpenPath"/>
      </mc:Fallback>
    </mc:AlternateContent>
    <mc:AlternateContent xmlns:mc="http://schemas.openxmlformats.org/markup-compatibility/2006">
      <mc:Choice Requires="x14">
        <control shapeId="5124" r:id="rId15" name="SaveAsXLSX">
          <controlPr defaultSize="0" print="0" altText="" r:id="rId16">
            <anchor moveWithCells="1">
              <from>
                <xdr:col>12</xdr:col>
                <xdr:colOff>219075</xdr:colOff>
                <xdr:row>16</xdr:row>
                <xdr:rowOff>28575</xdr:rowOff>
              </from>
              <to>
                <xdr:col>12</xdr:col>
                <xdr:colOff>1114425</xdr:colOff>
                <xdr:row>18</xdr:row>
                <xdr:rowOff>19050</xdr:rowOff>
              </to>
            </anchor>
          </controlPr>
        </control>
      </mc:Choice>
      <mc:Fallback>
        <control shapeId="5124" r:id="rId15" name="SaveAsXLSX"/>
      </mc:Fallback>
    </mc:AlternateContent>
    <mc:AlternateContent xmlns:mc="http://schemas.openxmlformats.org/markup-compatibility/2006">
      <mc:Choice Requires="x14">
        <control shapeId="5123" r:id="rId17" name="ClearButton">
          <controlPr defaultSize="0" print="0" altText="" r:id="rId18">
            <anchor moveWithCells="1">
              <from>
                <xdr:col>9</xdr:col>
                <xdr:colOff>19050</xdr:colOff>
                <xdr:row>18</xdr:row>
                <xdr:rowOff>114300</xdr:rowOff>
              </from>
              <to>
                <xdr:col>10</xdr:col>
                <xdr:colOff>161925</xdr:colOff>
                <xdr:row>21</xdr:row>
                <xdr:rowOff>9525</xdr:rowOff>
              </to>
            </anchor>
          </controlPr>
        </control>
      </mc:Choice>
      <mc:Fallback>
        <control shapeId="5123" r:id="rId17" name="ClearButton"/>
      </mc:Fallback>
    </mc:AlternateContent>
    <mc:AlternateContent xmlns:mc="http://schemas.openxmlformats.org/markup-compatibility/2006">
      <mc:Choice Requires="x14">
        <control shapeId="5122" r:id="rId19" name="PrintPDF">
          <controlPr defaultSize="0" print="0" altText="" r:id="rId20">
            <anchor moveWithCells="1">
              <from>
                <xdr:col>10</xdr:col>
                <xdr:colOff>361950</xdr:colOff>
                <xdr:row>16</xdr:row>
                <xdr:rowOff>38100</xdr:rowOff>
              </from>
              <to>
                <xdr:col>10</xdr:col>
                <xdr:colOff>1257300</xdr:colOff>
                <xdr:row>18</xdr:row>
                <xdr:rowOff>28575</xdr:rowOff>
              </to>
            </anchor>
          </controlPr>
        </control>
      </mc:Choice>
      <mc:Fallback>
        <control shapeId="5122" r:id="rId19" name="PrintPDF"/>
      </mc:Fallback>
    </mc:AlternateContent>
    <mc:AlternateContent xmlns:mc="http://schemas.openxmlformats.org/markup-compatibility/2006">
      <mc:Choice Requires="x14">
        <control shapeId="5121" r:id="rId21" name="PrintButton">
          <controlPr defaultSize="0" print="0" altText="" r:id="rId22">
            <anchor moveWithCells="1">
              <from>
                <xdr:col>10</xdr:col>
                <xdr:colOff>1533525</xdr:colOff>
                <xdr:row>16</xdr:row>
                <xdr:rowOff>38100</xdr:rowOff>
              </from>
              <to>
                <xdr:col>12</xdr:col>
                <xdr:colOff>9525</xdr:colOff>
                <xdr:row>18</xdr:row>
                <xdr:rowOff>28575</xdr:rowOff>
              </to>
            </anchor>
          </controlPr>
        </control>
      </mc:Choice>
      <mc:Fallback>
        <control shapeId="5121" r:id="rId21" name="Print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65"/>
  <sheetViews>
    <sheetView topLeftCell="A130" workbookViewId="0">
      <selection activeCell="F10" sqref="F10"/>
    </sheetView>
  </sheetViews>
  <sheetFormatPr defaultColWidth="9.140625" defaultRowHeight="12.75"/>
  <cols>
    <col min="1" max="1" width="22.140625" style="2" customWidth="1"/>
    <col min="2" max="2" width="13.85546875" style="2" customWidth="1"/>
    <col min="3" max="3" width="19.140625" style="2" customWidth="1"/>
    <col min="4" max="4" width="14" style="2" customWidth="1"/>
    <col min="5" max="5" width="19.140625" style="2" customWidth="1"/>
    <col min="6" max="6" width="40.42578125" style="2" customWidth="1"/>
    <col min="7" max="16384" width="9.140625" style="2"/>
  </cols>
  <sheetData>
    <row r="1" spans="1:6" s="1" customFormat="1" ht="24">
      <c r="A1" s="3" t="s">
        <v>14</v>
      </c>
      <c r="B1" s="3" t="s">
        <v>16</v>
      </c>
      <c r="C1" s="3" t="s">
        <v>15</v>
      </c>
      <c r="D1" s="3" t="s">
        <v>37</v>
      </c>
      <c r="E1" s="4" t="s">
        <v>38</v>
      </c>
      <c r="F1" s="5" t="s">
        <v>360</v>
      </c>
    </row>
    <row r="2" spans="1:6" ht="14.25">
      <c r="A2" s="6" t="s">
        <v>39</v>
      </c>
      <c r="B2" s="6" t="s">
        <v>40</v>
      </c>
      <c r="C2" s="6" t="s">
        <v>361</v>
      </c>
      <c r="D2" s="6">
        <v>95</v>
      </c>
    </row>
    <row r="3" spans="1:6" ht="14.25">
      <c r="A3" s="6" t="s">
        <v>41</v>
      </c>
      <c r="B3" s="6" t="s">
        <v>42</v>
      </c>
      <c r="C3" s="6"/>
      <c r="D3" s="6">
        <v>32</v>
      </c>
    </row>
    <row r="4" spans="1:6" ht="14.25">
      <c r="A4" s="6" t="s">
        <v>43</v>
      </c>
      <c r="B4" s="6" t="s">
        <v>42</v>
      </c>
      <c r="C4" s="6"/>
      <c r="D4" s="6">
        <v>17.7</v>
      </c>
    </row>
    <row r="5" spans="1:6" ht="14.25">
      <c r="A5" s="6" t="s">
        <v>362</v>
      </c>
      <c r="B5" s="6" t="s">
        <v>40</v>
      </c>
      <c r="C5" s="6" t="s">
        <v>363</v>
      </c>
      <c r="D5" s="6">
        <v>75</v>
      </c>
    </row>
    <row r="6" spans="1:6" ht="14.25">
      <c r="A6" s="6" t="s">
        <v>44</v>
      </c>
      <c r="B6" s="6" t="s">
        <v>45</v>
      </c>
      <c r="C6" s="6"/>
      <c r="D6" s="6">
        <v>86</v>
      </c>
    </row>
    <row r="7" spans="1:6" ht="14.25">
      <c r="A7" s="6" t="s">
        <v>46</v>
      </c>
      <c r="B7" s="6" t="s">
        <v>42</v>
      </c>
      <c r="C7" s="6"/>
      <c r="D7" s="6">
        <v>35</v>
      </c>
    </row>
    <row r="8" spans="1:6" ht="14.25">
      <c r="A8" s="6" t="s">
        <v>47</v>
      </c>
      <c r="B8" s="6" t="s">
        <v>42</v>
      </c>
      <c r="C8" s="6"/>
      <c r="D8" s="6">
        <v>25</v>
      </c>
    </row>
    <row r="9" spans="1:6" ht="14.25">
      <c r="A9" s="6" t="s">
        <v>48</v>
      </c>
      <c r="B9" s="6" t="s">
        <v>42</v>
      </c>
      <c r="C9" s="6"/>
      <c r="D9" s="6">
        <v>5.5</v>
      </c>
    </row>
    <row r="10" spans="1:6" ht="14.25">
      <c r="A10" s="6" t="s">
        <v>49</v>
      </c>
      <c r="B10" s="6" t="s">
        <v>42</v>
      </c>
      <c r="C10" s="6"/>
      <c r="D10" s="6">
        <v>15.5</v>
      </c>
    </row>
    <row r="11" spans="1:6" ht="14.25">
      <c r="A11" s="6" t="s">
        <v>364</v>
      </c>
      <c r="B11" s="6" t="s">
        <v>50</v>
      </c>
      <c r="C11" s="6"/>
      <c r="D11" s="6">
        <v>100</v>
      </c>
    </row>
    <row r="12" spans="1:6" ht="14.25">
      <c r="A12" s="6" t="s">
        <v>365</v>
      </c>
      <c r="B12" s="6" t="s">
        <v>42</v>
      </c>
      <c r="C12" s="6"/>
      <c r="D12" s="6">
        <v>65</v>
      </c>
    </row>
    <row r="13" spans="1:6" ht="14.25">
      <c r="A13" s="6" t="s">
        <v>51</v>
      </c>
      <c r="B13" s="6" t="s">
        <v>42</v>
      </c>
      <c r="C13" s="6"/>
      <c r="D13" s="6">
        <v>8</v>
      </c>
    </row>
    <row r="14" spans="1:6" ht="14.25">
      <c r="A14" s="6" t="s">
        <v>52</v>
      </c>
      <c r="B14" s="6" t="s">
        <v>42</v>
      </c>
      <c r="C14" s="6"/>
      <c r="D14" s="6">
        <v>48</v>
      </c>
    </row>
    <row r="15" spans="1:6" ht="14.25">
      <c r="A15" s="6" t="s">
        <v>53</v>
      </c>
      <c r="B15" s="6" t="s">
        <v>42</v>
      </c>
      <c r="C15" s="6"/>
      <c r="D15" s="6">
        <v>19</v>
      </c>
    </row>
    <row r="16" spans="1:6" ht="14.25">
      <c r="A16" s="6" t="s">
        <v>54</v>
      </c>
      <c r="B16" s="6" t="s">
        <v>66</v>
      </c>
      <c r="C16" s="6" t="s">
        <v>76</v>
      </c>
      <c r="D16" s="6">
        <v>8.5</v>
      </c>
    </row>
    <row r="17" spans="1:4" ht="14.25">
      <c r="A17" s="6" t="s">
        <v>55</v>
      </c>
      <c r="B17" s="6" t="s">
        <v>42</v>
      </c>
      <c r="C17" s="6"/>
      <c r="D17" s="6">
        <v>12</v>
      </c>
    </row>
    <row r="18" spans="1:4" ht="14.25">
      <c r="A18" s="6" t="s">
        <v>56</v>
      </c>
      <c r="B18" s="6" t="s">
        <v>42</v>
      </c>
      <c r="C18" s="6"/>
      <c r="D18" s="6">
        <v>8.5</v>
      </c>
    </row>
    <row r="19" spans="1:4" ht="14.25">
      <c r="A19" s="6" t="s">
        <v>57</v>
      </c>
      <c r="B19" s="6" t="s">
        <v>42</v>
      </c>
      <c r="C19" s="6"/>
      <c r="D19" s="6">
        <v>47</v>
      </c>
    </row>
    <row r="20" spans="1:4" ht="14.25">
      <c r="A20" s="6" t="s">
        <v>58</v>
      </c>
      <c r="B20" s="6" t="s">
        <v>366</v>
      </c>
      <c r="C20" s="6" t="s">
        <v>59</v>
      </c>
      <c r="D20" s="6">
        <v>105</v>
      </c>
    </row>
    <row r="21" spans="1:4" ht="14.25">
      <c r="A21" s="6" t="s">
        <v>60</v>
      </c>
      <c r="B21" s="6" t="s">
        <v>366</v>
      </c>
      <c r="C21" s="6" t="s">
        <v>61</v>
      </c>
      <c r="D21" s="6">
        <v>115</v>
      </c>
    </row>
    <row r="22" spans="1:4" ht="14.25">
      <c r="A22" s="6" t="s">
        <v>62</v>
      </c>
      <c r="B22" s="6" t="s">
        <v>42</v>
      </c>
      <c r="C22" s="6"/>
      <c r="D22" s="6">
        <v>3.5</v>
      </c>
    </row>
    <row r="23" spans="1:4" ht="14.25">
      <c r="A23" s="6" t="s">
        <v>63</v>
      </c>
      <c r="B23" s="6" t="s">
        <v>42</v>
      </c>
      <c r="C23" s="6"/>
      <c r="D23" s="6">
        <v>12</v>
      </c>
    </row>
    <row r="24" spans="1:4" ht="14.25">
      <c r="A24" s="6" t="s">
        <v>64</v>
      </c>
      <c r="B24" s="6" t="s">
        <v>42</v>
      </c>
      <c r="C24" s="6"/>
      <c r="D24" s="6">
        <v>24.5</v>
      </c>
    </row>
    <row r="25" spans="1:4" ht="14.25">
      <c r="A25" s="6" t="s">
        <v>65</v>
      </c>
      <c r="B25" s="6" t="s">
        <v>66</v>
      </c>
      <c r="C25" s="6"/>
      <c r="D25" s="6">
        <v>11.5</v>
      </c>
    </row>
    <row r="26" spans="1:4" ht="14.25">
      <c r="A26" s="6" t="s">
        <v>67</v>
      </c>
      <c r="B26" s="6" t="s">
        <v>42</v>
      </c>
      <c r="C26" s="6"/>
      <c r="D26" s="6">
        <v>35</v>
      </c>
    </row>
    <row r="27" spans="1:4" ht="14.25">
      <c r="A27" s="6" t="s">
        <v>68</v>
      </c>
      <c r="B27" s="6" t="s">
        <v>42</v>
      </c>
      <c r="C27" s="6"/>
      <c r="D27" s="6">
        <v>13.5</v>
      </c>
    </row>
    <row r="28" spans="1:4" ht="14.25">
      <c r="A28" s="6" t="s">
        <v>69</v>
      </c>
      <c r="B28" s="6" t="s">
        <v>42</v>
      </c>
      <c r="C28" s="6"/>
      <c r="D28" s="6">
        <v>12</v>
      </c>
    </row>
    <row r="29" spans="1:4" ht="14.25">
      <c r="A29" s="6" t="s">
        <v>70</v>
      </c>
      <c r="B29" s="6" t="s">
        <v>71</v>
      </c>
      <c r="C29" s="6" t="s">
        <v>72</v>
      </c>
      <c r="D29" s="6">
        <v>138</v>
      </c>
    </row>
    <row r="30" spans="1:4" ht="14.25">
      <c r="A30" s="6" t="s">
        <v>73</v>
      </c>
      <c r="B30" s="6" t="s">
        <v>71</v>
      </c>
      <c r="C30" s="6" t="s">
        <v>74</v>
      </c>
      <c r="D30" s="6">
        <v>82</v>
      </c>
    </row>
    <row r="31" spans="1:4" ht="14.25">
      <c r="A31" s="6" t="s">
        <v>75</v>
      </c>
      <c r="B31" s="6" t="s">
        <v>71</v>
      </c>
      <c r="C31" s="6" t="s">
        <v>76</v>
      </c>
      <c r="D31" s="6">
        <v>12</v>
      </c>
    </row>
    <row r="32" spans="1:4" ht="14.25">
      <c r="A32" s="6" t="s">
        <v>77</v>
      </c>
      <c r="B32" s="6" t="s">
        <v>42</v>
      </c>
      <c r="C32" s="6"/>
      <c r="D32" s="6">
        <v>38</v>
      </c>
    </row>
    <row r="33" spans="1:4" ht="14.25">
      <c r="A33" s="6" t="s">
        <v>78</v>
      </c>
      <c r="B33" s="6" t="s">
        <v>42</v>
      </c>
      <c r="C33" s="6"/>
      <c r="D33" s="6">
        <v>14.5</v>
      </c>
    </row>
    <row r="34" spans="1:4" ht="14.25">
      <c r="A34" s="6" t="s">
        <v>79</v>
      </c>
      <c r="B34" s="6" t="s">
        <v>42</v>
      </c>
      <c r="C34" s="6"/>
      <c r="D34" s="6">
        <v>28</v>
      </c>
    </row>
    <row r="35" spans="1:4" ht="14.25">
      <c r="A35" s="6" t="s">
        <v>80</v>
      </c>
      <c r="B35" s="6" t="s">
        <v>42</v>
      </c>
      <c r="C35" s="6"/>
      <c r="D35" s="6">
        <v>115</v>
      </c>
    </row>
    <row r="36" spans="1:4" ht="14.25">
      <c r="A36" s="6" t="s">
        <v>81</v>
      </c>
      <c r="B36" s="6" t="s">
        <v>42</v>
      </c>
      <c r="C36" s="6"/>
      <c r="D36" s="6">
        <v>126</v>
      </c>
    </row>
    <row r="37" spans="1:4" ht="14.25">
      <c r="A37" s="6" t="s">
        <v>82</v>
      </c>
      <c r="B37" s="6" t="s">
        <v>42</v>
      </c>
      <c r="C37" s="6"/>
      <c r="D37" s="6">
        <v>21</v>
      </c>
    </row>
    <row r="38" spans="1:4" ht="14.25">
      <c r="A38" s="6" t="s">
        <v>83</v>
      </c>
      <c r="B38" s="6" t="s">
        <v>42</v>
      </c>
      <c r="C38" s="6"/>
      <c r="D38" s="6">
        <v>14.5</v>
      </c>
    </row>
    <row r="39" spans="1:4" ht="14.25">
      <c r="A39" s="6" t="s">
        <v>84</v>
      </c>
      <c r="B39" s="6" t="s">
        <v>42</v>
      </c>
      <c r="C39" s="6"/>
      <c r="D39" s="6">
        <v>12</v>
      </c>
    </row>
    <row r="40" spans="1:4" ht="14.25">
      <c r="A40" s="6" t="s">
        <v>85</v>
      </c>
      <c r="B40" s="6" t="s">
        <v>42</v>
      </c>
      <c r="C40" s="6"/>
      <c r="D40" s="6">
        <v>12</v>
      </c>
    </row>
    <row r="41" spans="1:4" ht="14.25">
      <c r="A41" s="6" t="s">
        <v>86</v>
      </c>
      <c r="B41" s="6" t="s">
        <v>42</v>
      </c>
      <c r="C41" s="6"/>
      <c r="D41" s="6">
        <v>15.5</v>
      </c>
    </row>
    <row r="42" spans="1:4" ht="14.25">
      <c r="A42" s="6" t="s">
        <v>87</v>
      </c>
      <c r="B42" s="6" t="s">
        <v>40</v>
      </c>
      <c r="C42" s="6"/>
      <c r="D42" s="6">
        <v>85</v>
      </c>
    </row>
    <row r="43" spans="1:4" ht="14.25">
      <c r="A43" s="6" t="s">
        <v>88</v>
      </c>
      <c r="B43" s="6" t="s">
        <v>42</v>
      </c>
      <c r="C43" s="6"/>
      <c r="D43" s="6">
        <v>30</v>
      </c>
    </row>
    <row r="44" spans="1:4" ht="14.25">
      <c r="A44" s="6" t="s">
        <v>89</v>
      </c>
      <c r="B44" s="6" t="s">
        <v>42</v>
      </c>
      <c r="C44" s="6"/>
      <c r="D44" s="6">
        <v>9.5</v>
      </c>
    </row>
    <row r="45" spans="1:4" ht="14.25">
      <c r="A45" s="6" t="s">
        <v>90</v>
      </c>
      <c r="B45" s="6" t="s">
        <v>42</v>
      </c>
      <c r="C45" s="6"/>
      <c r="D45" s="6">
        <v>35</v>
      </c>
    </row>
    <row r="46" spans="1:4" ht="14.25">
      <c r="A46" s="6" t="s">
        <v>91</v>
      </c>
      <c r="B46" s="6" t="s">
        <v>71</v>
      </c>
      <c r="C46" s="6"/>
      <c r="D46" s="6">
        <v>9</v>
      </c>
    </row>
    <row r="47" spans="1:4" ht="14.25">
      <c r="A47" s="6" t="s">
        <v>92</v>
      </c>
      <c r="B47" s="6" t="s">
        <v>93</v>
      </c>
      <c r="C47" s="6"/>
      <c r="D47" s="6">
        <v>6</v>
      </c>
    </row>
    <row r="48" spans="1:4" ht="14.25">
      <c r="A48" s="6" t="s">
        <v>94</v>
      </c>
      <c r="B48" s="6" t="s">
        <v>95</v>
      </c>
      <c r="C48" s="6"/>
      <c r="D48" s="6">
        <v>130</v>
      </c>
    </row>
    <row r="49" spans="1:4" ht="14.25">
      <c r="A49" s="6" t="s">
        <v>367</v>
      </c>
      <c r="B49" s="6" t="s">
        <v>42</v>
      </c>
      <c r="C49" s="6"/>
      <c r="D49" s="6">
        <v>13.5</v>
      </c>
    </row>
    <row r="50" spans="1:4" ht="14.25">
      <c r="A50" s="6" t="s">
        <v>368</v>
      </c>
      <c r="B50" s="6" t="s">
        <v>40</v>
      </c>
      <c r="C50" s="6"/>
      <c r="D50" s="6">
        <v>90</v>
      </c>
    </row>
    <row r="51" spans="1:4" ht="14.25">
      <c r="A51" s="6" t="s">
        <v>369</v>
      </c>
      <c r="B51" s="6" t="s">
        <v>40</v>
      </c>
      <c r="C51" s="6" t="s">
        <v>370</v>
      </c>
      <c r="D51" s="6">
        <v>150</v>
      </c>
    </row>
    <row r="52" spans="1:4" ht="14.25">
      <c r="A52" s="6" t="s">
        <v>371</v>
      </c>
      <c r="B52" s="6" t="s">
        <v>42</v>
      </c>
      <c r="C52" s="6"/>
      <c r="D52" s="6">
        <v>15</v>
      </c>
    </row>
    <row r="53" spans="1:4" ht="14.25">
      <c r="A53" s="6" t="s">
        <v>372</v>
      </c>
      <c r="B53" s="6" t="s">
        <v>42</v>
      </c>
      <c r="C53" s="6"/>
      <c r="D53" s="6">
        <v>9</v>
      </c>
    </row>
    <row r="54" spans="1:4" ht="14.25">
      <c r="A54" s="6" t="s">
        <v>373</v>
      </c>
      <c r="B54" s="6" t="s">
        <v>42</v>
      </c>
      <c r="C54" s="6"/>
      <c r="D54" s="6">
        <v>12</v>
      </c>
    </row>
    <row r="55" spans="1:4" ht="14.25">
      <c r="A55" s="6" t="s">
        <v>374</v>
      </c>
      <c r="B55" s="6" t="s">
        <v>42</v>
      </c>
      <c r="C55" s="6"/>
      <c r="D55" s="6">
        <v>22</v>
      </c>
    </row>
    <row r="56" spans="1:4" ht="14.25">
      <c r="A56" s="6" t="s">
        <v>375</v>
      </c>
      <c r="B56" s="6" t="s">
        <v>42</v>
      </c>
      <c r="C56" s="6"/>
      <c r="D56" s="6">
        <v>9.5</v>
      </c>
    </row>
    <row r="57" spans="1:4" ht="14.25">
      <c r="A57" s="6" t="s">
        <v>376</v>
      </c>
      <c r="B57" s="6" t="s">
        <v>71</v>
      </c>
      <c r="C57" s="6"/>
      <c r="D57" s="6">
        <v>9.5</v>
      </c>
    </row>
    <row r="58" spans="1:4" ht="14.25">
      <c r="A58" s="6" t="s">
        <v>377</v>
      </c>
      <c r="B58" s="6" t="s">
        <v>71</v>
      </c>
      <c r="C58" s="6"/>
      <c r="D58" s="6">
        <v>5</v>
      </c>
    </row>
    <row r="59" spans="1:4" ht="14.25">
      <c r="A59" s="6" t="s">
        <v>378</v>
      </c>
      <c r="B59" s="6" t="s">
        <v>42</v>
      </c>
      <c r="C59" s="6"/>
      <c r="D59" s="6">
        <v>13</v>
      </c>
    </row>
    <row r="60" spans="1:4" ht="14.25">
      <c r="A60" s="6" t="s">
        <v>379</v>
      </c>
      <c r="B60" s="6" t="s">
        <v>42</v>
      </c>
      <c r="C60" s="6">
        <v>24</v>
      </c>
      <c r="D60" s="6">
        <v>28</v>
      </c>
    </row>
    <row r="61" spans="1:4" ht="14.25">
      <c r="A61" s="6" t="s">
        <v>380</v>
      </c>
      <c r="B61" s="6" t="s">
        <v>40</v>
      </c>
      <c r="C61" s="6"/>
      <c r="D61" s="6">
        <v>15.5</v>
      </c>
    </row>
    <row r="62" spans="1:4" ht="14.25">
      <c r="A62" s="6" t="s">
        <v>381</v>
      </c>
      <c r="B62" s="6" t="s">
        <v>42</v>
      </c>
      <c r="C62" s="6"/>
      <c r="D62" s="6">
        <v>23</v>
      </c>
    </row>
    <row r="63" spans="1:4" ht="14.25">
      <c r="A63" s="6" t="s">
        <v>382</v>
      </c>
      <c r="B63" s="6" t="s">
        <v>71</v>
      </c>
      <c r="C63" s="6"/>
      <c r="D63" s="6">
        <v>30</v>
      </c>
    </row>
    <row r="64" spans="1:4" ht="14.25">
      <c r="A64" s="6" t="s">
        <v>383</v>
      </c>
      <c r="B64" s="6" t="s">
        <v>71</v>
      </c>
      <c r="C64" s="6"/>
      <c r="D64" s="6">
        <v>25</v>
      </c>
    </row>
    <row r="65" spans="1:4" ht="14.25">
      <c r="A65" s="6" t="s">
        <v>384</v>
      </c>
      <c r="B65" s="6" t="s">
        <v>42</v>
      </c>
      <c r="C65" s="6"/>
      <c r="D65" s="6">
        <v>23</v>
      </c>
    </row>
    <row r="66" spans="1:4" ht="14.25">
      <c r="A66" s="6" t="s">
        <v>385</v>
      </c>
      <c r="B66" s="6" t="s">
        <v>42</v>
      </c>
      <c r="C66" s="6"/>
      <c r="D66" s="6"/>
    </row>
    <row r="67" spans="1:4" ht="14.25">
      <c r="A67" s="6" t="s">
        <v>386</v>
      </c>
      <c r="B67" s="6" t="s">
        <v>42</v>
      </c>
      <c r="C67" s="6"/>
      <c r="D67" s="6">
        <v>18.5</v>
      </c>
    </row>
    <row r="68" spans="1:4" ht="14.25">
      <c r="A68" s="6" t="s">
        <v>387</v>
      </c>
      <c r="B68" s="6" t="s">
        <v>133</v>
      </c>
      <c r="C68" s="6"/>
      <c r="D68" s="6">
        <v>1.5</v>
      </c>
    </row>
    <row r="69" spans="1:4" ht="14.25">
      <c r="A69" s="6" t="s">
        <v>388</v>
      </c>
      <c r="B69" s="6" t="s">
        <v>71</v>
      </c>
      <c r="C69" s="6"/>
      <c r="D69" s="6">
        <v>45</v>
      </c>
    </row>
    <row r="70" spans="1:4" ht="14.25">
      <c r="A70" s="6" t="s">
        <v>389</v>
      </c>
      <c r="B70" s="6" t="s">
        <v>42</v>
      </c>
      <c r="C70" s="6"/>
      <c r="D70" s="6">
        <v>39.5</v>
      </c>
    </row>
    <row r="71" spans="1:4" ht="14.25">
      <c r="A71" s="6" t="s">
        <v>390</v>
      </c>
      <c r="B71" s="6" t="s">
        <v>97</v>
      </c>
      <c r="C71" s="6"/>
      <c r="D71" s="6">
        <v>140</v>
      </c>
    </row>
    <row r="72" spans="1:4" ht="14.25">
      <c r="A72" s="6" t="s">
        <v>391</v>
      </c>
      <c r="B72" s="6" t="s">
        <v>71</v>
      </c>
      <c r="C72" s="6"/>
      <c r="D72" s="6">
        <v>2</v>
      </c>
    </row>
    <row r="73" spans="1:4" ht="14.25">
      <c r="A73" s="6" t="s">
        <v>392</v>
      </c>
      <c r="B73" s="6" t="s">
        <v>95</v>
      </c>
      <c r="C73" s="6"/>
      <c r="D73" s="6"/>
    </row>
    <row r="74" spans="1:4" ht="14.25">
      <c r="A74" s="6" t="s">
        <v>393</v>
      </c>
      <c r="B74" s="6" t="s">
        <v>42</v>
      </c>
      <c r="C74" s="6"/>
      <c r="D74" s="6">
        <v>9.5</v>
      </c>
    </row>
    <row r="75" spans="1:4" ht="14.25">
      <c r="A75" s="6" t="s">
        <v>394</v>
      </c>
      <c r="B75" s="6" t="s">
        <v>42</v>
      </c>
      <c r="C75" s="6"/>
      <c r="D75" s="6">
        <v>15.5</v>
      </c>
    </row>
    <row r="76" spans="1:4" ht="14.25">
      <c r="A76" s="6" t="s">
        <v>395</v>
      </c>
      <c r="B76" s="6" t="s">
        <v>71</v>
      </c>
      <c r="C76" s="6"/>
      <c r="D76" s="6">
        <v>7.5</v>
      </c>
    </row>
    <row r="77" spans="1:4" ht="14.25">
      <c r="A77" s="6" t="s">
        <v>396</v>
      </c>
      <c r="B77" s="6" t="s">
        <v>42</v>
      </c>
      <c r="C77" s="6"/>
      <c r="D77" s="6">
        <v>70</v>
      </c>
    </row>
    <row r="78" spans="1:4" ht="14.25">
      <c r="A78" s="6" t="s">
        <v>385</v>
      </c>
      <c r="B78" s="6" t="s">
        <v>40</v>
      </c>
      <c r="C78" s="6"/>
      <c r="D78" s="6">
        <v>70</v>
      </c>
    </row>
    <row r="79" spans="1:4" ht="14.25">
      <c r="A79" s="6" t="s">
        <v>397</v>
      </c>
      <c r="B79" s="6" t="s">
        <v>42</v>
      </c>
      <c r="C79" s="6"/>
      <c r="D79" s="6">
        <v>7.5</v>
      </c>
    </row>
    <row r="80" spans="1:4" ht="14.25">
      <c r="A80" s="6" t="s">
        <v>398</v>
      </c>
      <c r="B80" s="6" t="s">
        <v>42</v>
      </c>
      <c r="C80" s="6"/>
      <c r="D80" s="6">
        <v>14.5</v>
      </c>
    </row>
    <row r="81" spans="1:4" ht="14.25">
      <c r="A81" s="6" t="s">
        <v>399</v>
      </c>
      <c r="B81" s="6" t="s">
        <v>71</v>
      </c>
      <c r="C81" s="6"/>
      <c r="D81" s="6">
        <v>33</v>
      </c>
    </row>
    <row r="82" spans="1:4" ht="14.25">
      <c r="A82" s="6" t="s">
        <v>400</v>
      </c>
      <c r="B82" s="6" t="s">
        <v>42</v>
      </c>
      <c r="C82" s="6"/>
      <c r="D82" s="6">
        <v>13.5</v>
      </c>
    </row>
    <row r="83" spans="1:4" ht="14.25">
      <c r="A83" s="6" t="s">
        <v>401</v>
      </c>
      <c r="B83" s="6" t="s">
        <v>71</v>
      </c>
      <c r="C83" s="6"/>
      <c r="D83" s="6">
        <v>15</v>
      </c>
    </row>
    <row r="84" spans="1:4" ht="14.25">
      <c r="A84" s="6" t="s">
        <v>402</v>
      </c>
      <c r="B84" s="6" t="s">
        <v>71</v>
      </c>
      <c r="C84" s="6"/>
      <c r="D84" s="6">
        <v>8</v>
      </c>
    </row>
    <row r="85" spans="1:4" ht="14.25">
      <c r="A85" s="6" t="s">
        <v>403</v>
      </c>
      <c r="B85" s="6" t="s">
        <v>42</v>
      </c>
      <c r="C85" s="6"/>
      <c r="D85" s="6">
        <v>23</v>
      </c>
    </row>
    <row r="86" spans="1:4" ht="14.25">
      <c r="A86" s="6" t="s">
        <v>286</v>
      </c>
      <c r="B86" s="6" t="s">
        <v>42</v>
      </c>
      <c r="C86" s="6"/>
      <c r="D86" s="6">
        <v>1.9</v>
      </c>
    </row>
    <row r="87" spans="1:4" ht="14.25">
      <c r="A87" s="6" t="s">
        <v>287</v>
      </c>
      <c r="B87" s="6" t="s">
        <v>42</v>
      </c>
      <c r="C87" s="6"/>
      <c r="D87" s="6">
        <v>4.8</v>
      </c>
    </row>
    <row r="88" spans="1:4" ht="14.25">
      <c r="A88" s="6" t="s">
        <v>288</v>
      </c>
      <c r="B88" s="6" t="s">
        <v>42</v>
      </c>
      <c r="C88" s="6"/>
      <c r="D88" s="6">
        <v>5.5</v>
      </c>
    </row>
    <row r="89" spans="1:4" ht="14.25">
      <c r="A89" s="6" t="s">
        <v>289</v>
      </c>
      <c r="B89" s="6" t="s">
        <v>42</v>
      </c>
      <c r="C89" s="6"/>
      <c r="D89" s="6">
        <v>4.5</v>
      </c>
    </row>
    <row r="90" spans="1:4" ht="14.25">
      <c r="A90" s="6" t="s">
        <v>404</v>
      </c>
      <c r="B90" s="6" t="s">
        <v>42</v>
      </c>
      <c r="C90" s="6"/>
      <c r="D90" s="6">
        <v>8</v>
      </c>
    </row>
    <row r="91" spans="1:4" ht="14.25">
      <c r="A91" s="6" t="s">
        <v>290</v>
      </c>
      <c r="B91" s="6" t="s">
        <v>42</v>
      </c>
      <c r="C91" s="6"/>
      <c r="D91" s="6">
        <v>16</v>
      </c>
    </row>
    <row r="92" spans="1:4" ht="14.25">
      <c r="A92" s="6" t="s">
        <v>291</v>
      </c>
      <c r="B92" s="6" t="s">
        <v>42</v>
      </c>
      <c r="C92" s="6"/>
      <c r="D92" s="6">
        <v>22</v>
      </c>
    </row>
    <row r="93" spans="1:4" ht="14.25">
      <c r="A93" s="6" t="s">
        <v>292</v>
      </c>
      <c r="B93" s="6" t="s">
        <v>42</v>
      </c>
      <c r="C93" s="6"/>
      <c r="D93" s="6">
        <v>17.5</v>
      </c>
    </row>
    <row r="94" spans="1:4" ht="14.25">
      <c r="A94" s="6" t="s">
        <v>293</v>
      </c>
      <c r="B94" s="6" t="s">
        <v>42</v>
      </c>
      <c r="C94" s="6"/>
      <c r="D94" s="6">
        <v>8.5</v>
      </c>
    </row>
    <row r="95" spans="1:4" ht="14.25">
      <c r="A95" s="6" t="s">
        <v>405</v>
      </c>
      <c r="B95" s="6" t="s">
        <v>42</v>
      </c>
      <c r="C95" s="6"/>
      <c r="D95" s="6">
        <v>3.8</v>
      </c>
    </row>
    <row r="96" spans="1:4" ht="14.25">
      <c r="A96" s="6" t="s">
        <v>294</v>
      </c>
      <c r="B96" s="6" t="s">
        <v>42</v>
      </c>
      <c r="C96" s="6"/>
      <c r="D96" s="6">
        <v>3.6</v>
      </c>
    </row>
    <row r="97" spans="1:4" ht="14.25">
      <c r="A97" s="6" t="s">
        <v>295</v>
      </c>
      <c r="B97" s="6" t="s">
        <v>42</v>
      </c>
      <c r="C97" s="6"/>
      <c r="D97" s="6">
        <v>6.5</v>
      </c>
    </row>
    <row r="98" spans="1:4" ht="14.25">
      <c r="A98" s="6" t="s">
        <v>351</v>
      </c>
      <c r="B98" s="6" t="s">
        <v>42</v>
      </c>
      <c r="C98" s="6"/>
      <c r="D98" s="6">
        <v>1.5</v>
      </c>
    </row>
    <row r="99" spans="1:4" ht="14.25">
      <c r="A99" s="6" t="s">
        <v>297</v>
      </c>
      <c r="B99" s="6" t="s">
        <v>42</v>
      </c>
      <c r="C99" s="6"/>
      <c r="D99" s="6">
        <v>2.5</v>
      </c>
    </row>
    <row r="100" spans="1:4" ht="14.25">
      <c r="A100" s="6" t="s">
        <v>298</v>
      </c>
      <c r="B100" s="6" t="s">
        <v>42</v>
      </c>
      <c r="C100" s="6"/>
      <c r="D100" s="6">
        <v>26</v>
      </c>
    </row>
    <row r="101" spans="1:4" ht="14.25">
      <c r="A101" s="6" t="s">
        <v>299</v>
      </c>
      <c r="B101" s="6" t="s">
        <v>42</v>
      </c>
      <c r="C101" s="6"/>
      <c r="D101" s="6">
        <v>1.8</v>
      </c>
    </row>
    <row r="102" spans="1:4" ht="14.25">
      <c r="A102" s="6" t="s">
        <v>300</v>
      </c>
      <c r="B102" s="6" t="s">
        <v>42</v>
      </c>
      <c r="C102" s="6"/>
      <c r="D102" s="6">
        <v>8.5</v>
      </c>
    </row>
    <row r="103" spans="1:4" ht="14.25">
      <c r="A103" s="6" t="s">
        <v>301</v>
      </c>
      <c r="B103" s="6" t="s">
        <v>42</v>
      </c>
      <c r="C103" s="6"/>
      <c r="D103" s="6">
        <v>13.5</v>
      </c>
    </row>
    <row r="104" spans="1:4" ht="14.25">
      <c r="A104" s="6" t="s">
        <v>302</v>
      </c>
      <c r="B104" s="6" t="s">
        <v>42</v>
      </c>
      <c r="C104" s="6"/>
      <c r="D104" s="6">
        <v>5</v>
      </c>
    </row>
    <row r="105" spans="1:4" ht="14.25">
      <c r="A105" s="6" t="s">
        <v>406</v>
      </c>
      <c r="B105" s="6" t="s">
        <v>42</v>
      </c>
      <c r="C105" s="6"/>
      <c r="D105" s="6">
        <v>12</v>
      </c>
    </row>
    <row r="106" spans="1:4" ht="14.25">
      <c r="A106" s="6" t="s">
        <v>303</v>
      </c>
      <c r="B106" s="6" t="s">
        <v>42</v>
      </c>
      <c r="C106" s="6"/>
      <c r="D106" s="6">
        <v>3.8</v>
      </c>
    </row>
    <row r="107" spans="1:4" ht="14.25">
      <c r="A107" s="6" t="s">
        <v>304</v>
      </c>
      <c r="B107" s="6" t="s">
        <v>42</v>
      </c>
      <c r="C107" s="6"/>
      <c r="D107" s="6">
        <v>12</v>
      </c>
    </row>
    <row r="108" spans="1:4" ht="14.25">
      <c r="A108" s="6" t="s">
        <v>305</v>
      </c>
      <c r="B108" s="6" t="s">
        <v>42</v>
      </c>
      <c r="C108" s="6"/>
      <c r="D108" s="6">
        <v>11</v>
      </c>
    </row>
    <row r="109" spans="1:4" ht="14.25">
      <c r="A109" s="6" t="s">
        <v>306</v>
      </c>
      <c r="B109" s="6" t="s">
        <v>42</v>
      </c>
      <c r="C109" s="6"/>
      <c r="D109" s="6">
        <v>14</v>
      </c>
    </row>
    <row r="110" spans="1:4" ht="14.25">
      <c r="A110" s="6" t="s">
        <v>307</v>
      </c>
      <c r="B110" s="6" t="s">
        <v>42</v>
      </c>
      <c r="C110" s="6"/>
      <c r="D110" s="6">
        <v>6</v>
      </c>
    </row>
    <row r="111" spans="1:4" ht="14.25">
      <c r="A111" s="6" t="s">
        <v>308</v>
      </c>
      <c r="B111" s="6" t="s">
        <v>42</v>
      </c>
      <c r="C111" s="6"/>
      <c r="D111" s="6">
        <v>4.4000000000000004</v>
      </c>
    </row>
    <row r="112" spans="1:4" ht="14.25">
      <c r="A112" s="6" t="s">
        <v>309</v>
      </c>
      <c r="B112" s="6" t="s">
        <v>42</v>
      </c>
      <c r="C112" s="6"/>
      <c r="D112" s="6">
        <v>3.6</v>
      </c>
    </row>
    <row r="113" spans="1:4" ht="14.25">
      <c r="A113" s="6" t="s">
        <v>310</v>
      </c>
      <c r="B113" s="6" t="s">
        <v>42</v>
      </c>
      <c r="C113" s="6"/>
      <c r="D113" s="6">
        <v>7</v>
      </c>
    </row>
    <row r="114" spans="1:4" ht="14.25">
      <c r="A114" s="6" t="s">
        <v>311</v>
      </c>
      <c r="B114" s="6" t="s">
        <v>93</v>
      </c>
      <c r="C114" s="6"/>
      <c r="D114" s="6">
        <v>5.5</v>
      </c>
    </row>
    <row r="115" spans="1:4" ht="14.25">
      <c r="A115" s="6" t="s">
        <v>312</v>
      </c>
      <c r="B115" s="6" t="s">
        <v>42</v>
      </c>
      <c r="C115" s="6"/>
      <c r="D115" s="6">
        <v>6.9</v>
      </c>
    </row>
    <row r="116" spans="1:4" ht="14.25">
      <c r="A116" s="6" t="s">
        <v>313</v>
      </c>
      <c r="B116" s="6" t="s">
        <v>42</v>
      </c>
      <c r="C116" s="6"/>
      <c r="D116" s="6">
        <v>3.5</v>
      </c>
    </row>
    <row r="117" spans="1:4" ht="14.25">
      <c r="A117" s="6" t="s">
        <v>314</v>
      </c>
      <c r="B117" s="6" t="s">
        <v>42</v>
      </c>
      <c r="C117" s="6"/>
      <c r="D117" s="6">
        <v>13</v>
      </c>
    </row>
    <row r="118" spans="1:4" ht="14.25">
      <c r="A118" s="6" t="s">
        <v>315</v>
      </c>
      <c r="B118" s="6" t="s">
        <v>42</v>
      </c>
      <c r="C118" s="6"/>
      <c r="D118" s="6">
        <v>7.5</v>
      </c>
    </row>
    <row r="119" spans="1:4" ht="14.25">
      <c r="A119" s="6" t="s">
        <v>316</v>
      </c>
      <c r="B119" s="6" t="s">
        <v>42</v>
      </c>
      <c r="C119" s="6"/>
      <c r="D119" s="6">
        <v>11.5</v>
      </c>
    </row>
    <row r="120" spans="1:4" ht="14.25">
      <c r="A120" s="6" t="s">
        <v>317</v>
      </c>
      <c r="B120" s="6" t="s">
        <v>42</v>
      </c>
      <c r="C120" s="6"/>
      <c r="D120" s="6">
        <v>4.5</v>
      </c>
    </row>
    <row r="121" spans="1:4" ht="14.25">
      <c r="A121" s="6" t="s">
        <v>318</v>
      </c>
      <c r="B121" s="6" t="s">
        <v>93</v>
      </c>
      <c r="C121" s="6" t="s">
        <v>319</v>
      </c>
      <c r="D121" s="6">
        <v>2.6</v>
      </c>
    </row>
    <row r="122" spans="1:4" ht="14.25">
      <c r="A122" s="6" t="s">
        <v>320</v>
      </c>
      <c r="B122" s="6" t="s">
        <v>42</v>
      </c>
      <c r="C122" s="6"/>
      <c r="D122" s="6">
        <v>6</v>
      </c>
    </row>
    <row r="123" spans="1:4" ht="14.25">
      <c r="A123" s="6" t="s">
        <v>321</v>
      </c>
      <c r="B123" s="6" t="s">
        <v>42</v>
      </c>
      <c r="C123" s="6"/>
      <c r="D123" s="6">
        <v>3.8</v>
      </c>
    </row>
    <row r="124" spans="1:4" ht="14.25">
      <c r="A124" s="6" t="s">
        <v>322</v>
      </c>
      <c r="B124" s="6" t="s">
        <v>42</v>
      </c>
      <c r="C124" s="6"/>
      <c r="D124" s="6">
        <v>5.5</v>
      </c>
    </row>
    <row r="125" spans="1:4" ht="14.25">
      <c r="A125" s="6" t="s">
        <v>323</v>
      </c>
      <c r="B125" s="6" t="s">
        <v>42</v>
      </c>
      <c r="C125" s="6"/>
      <c r="D125" s="6">
        <v>3.8</v>
      </c>
    </row>
    <row r="126" spans="1:4" ht="14.25">
      <c r="A126" s="6" t="s">
        <v>324</v>
      </c>
      <c r="B126" s="6" t="s">
        <v>42</v>
      </c>
      <c r="C126" s="6"/>
      <c r="D126" s="6">
        <v>2.7</v>
      </c>
    </row>
    <row r="127" spans="1:4" ht="14.25">
      <c r="A127" s="6" t="s">
        <v>325</v>
      </c>
      <c r="B127" s="6" t="s">
        <v>42</v>
      </c>
      <c r="C127" s="6"/>
      <c r="D127" s="6">
        <v>9</v>
      </c>
    </row>
    <row r="128" spans="1:4" ht="14.25">
      <c r="A128" s="6" t="s">
        <v>326</v>
      </c>
      <c r="B128" s="6" t="s">
        <v>327</v>
      </c>
      <c r="C128" s="6"/>
      <c r="D128" s="6">
        <v>16</v>
      </c>
    </row>
    <row r="129" spans="1:4" ht="14.25">
      <c r="A129" s="6" t="s">
        <v>328</v>
      </c>
      <c r="B129" s="6" t="s">
        <v>42</v>
      </c>
      <c r="C129" s="6"/>
      <c r="D129" s="6">
        <v>12</v>
      </c>
    </row>
    <row r="130" spans="1:4" ht="14.25">
      <c r="A130" s="6" t="s">
        <v>329</v>
      </c>
      <c r="B130" s="6" t="s">
        <v>42</v>
      </c>
      <c r="C130" s="6"/>
      <c r="D130" s="6">
        <v>5</v>
      </c>
    </row>
    <row r="131" spans="1:4" ht="14.25">
      <c r="A131" s="6" t="s">
        <v>407</v>
      </c>
      <c r="B131" s="6" t="s">
        <v>42</v>
      </c>
      <c r="C131" s="6"/>
      <c r="D131" s="6">
        <v>3.9</v>
      </c>
    </row>
    <row r="132" spans="1:4" ht="14.25">
      <c r="A132" s="6" t="s">
        <v>408</v>
      </c>
      <c r="B132" s="6" t="s">
        <v>42</v>
      </c>
      <c r="C132" s="6"/>
      <c r="D132" s="6">
        <v>2.6</v>
      </c>
    </row>
    <row r="133" spans="1:4" ht="14.25">
      <c r="A133" s="6" t="s">
        <v>409</v>
      </c>
      <c r="B133" s="6" t="s">
        <v>42</v>
      </c>
      <c r="C133" s="6"/>
      <c r="D133" s="6">
        <v>1.6</v>
      </c>
    </row>
    <row r="134" spans="1:4" ht="14.25">
      <c r="A134" s="6" t="s">
        <v>410</v>
      </c>
      <c r="B134" s="6" t="s">
        <v>71</v>
      </c>
      <c r="C134" s="6"/>
      <c r="D134" s="6"/>
    </row>
    <row r="135" spans="1:4" ht="14.25">
      <c r="A135" s="6" t="s">
        <v>411</v>
      </c>
      <c r="B135" s="6" t="s">
        <v>42</v>
      </c>
      <c r="C135" s="6"/>
      <c r="D135" s="6">
        <v>12</v>
      </c>
    </row>
    <row r="136" spans="1:4" ht="14.25">
      <c r="A136" s="6" t="s">
        <v>346</v>
      </c>
      <c r="B136" s="6" t="s">
        <v>42</v>
      </c>
      <c r="C136" s="6"/>
      <c r="D136" s="6">
        <v>1.3</v>
      </c>
    </row>
    <row r="137" spans="1:4" ht="14.25">
      <c r="A137" s="6" t="s">
        <v>412</v>
      </c>
      <c r="B137" s="6" t="s">
        <v>42</v>
      </c>
      <c r="C137" s="6"/>
      <c r="D137" s="6">
        <v>5.5</v>
      </c>
    </row>
    <row r="138" spans="1:4" ht="14.25">
      <c r="A138" s="6" t="s">
        <v>413</v>
      </c>
      <c r="B138" s="6" t="s">
        <v>42</v>
      </c>
      <c r="C138" s="6"/>
      <c r="D138" s="6">
        <v>11</v>
      </c>
    </row>
    <row r="139" spans="1:4" ht="14.25">
      <c r="A139" s="6" t="s">
        <v>414</v>
      </c>
      <c r="B139" s="6" t="s">
        <v>42</v>
      </c>
      <c r="C139" s="6"/>
      <c r="D139" s="6">
        <v>4.5</v>
      </c>
    </row>
    <row r="140" spans="1:4" ht="14.25">
      <c r="A140" s="6" t="s">
        <v>415</v>
      </c>
      <c r="B140" s="6" t="s">
        <v>42</v>
      </c>
      <c r="C140" s="6"/>
      <c r="D140" s="6">
        <v>3.6</v>
      </c>
    </row>
    <row r="141" spans="1:4" ht="14.25">
      <c r="A141" s="6" t="s">
        <v>416</v>
      </c>
      <c r="B141" s="6" t="s">
        <v>42</v>
      </c>
      <c r="C141" s="6"/>
      <c r="D141" s="6">
        <v>2.5</v>
      </c>
    </row>
    <row r="142" spans="1:4" ht="14.25">
      <c r="A142" s="6" t="s">
        <v>417</v>
      </c>
      <c r="B142" s="6" t="s">
        <v>42</v>
      </c>
      <c r="C142" s="6"/>
      <c r="D142" s="6">
        <v>6.5</v>
      </c>
    </row>
    <row r="143" spans="1:4" ht="14.25">
      <c r="A143" s="6" t="s">
        <v>418</v>
      </c>
      <c r="B143" s="6" t="s">
        <v>71</v>
      </c>
      <c r="C143" s="6"/>
      <c r="D143" s="6">
        <v>14</v>
      </c>
    </row>
    <row r="144" spans="1:4" ht="14.25">
      <c r="A144" s="6" t="s">
        <v>308</v>
      </c>
      <c r="B144" s="6" t="s">
        <v>42</v>
      </c>
      <c r="C144" s="6"/>
      <c r="D144" s="6"/>
    </row>
    <row r="145" spans="1:4" ht="14.25">
      <c r="A145" s="6" t="s">
        <v>419</v>
      </c>
      <c r="B145" s="6" t="s">
        <v>42</v>
      </c>
      <c r="C145" s="6"/>
      <c r="D145" s="6">
        <v>5.5</v>
      </c>
    </row>
    <row r="146" spans="1:4" ht="14.25">
      <c r="A146" s="6" t="s">
        <v>420</v>
      </c>
      <c r="B146" s="6" t="s">
        <v>102</v>
      </c>
      <c r="C146" s="6"/>
      <c r="D146" s="6">
        <v>9</v>
      </c>
    </row>
    <row r="147" spans="1:4" ht="14.25">
      <c r="A147" s="6" t="s">
        <v>421</v>
      </c>
      <c r="B147" s="6" t="s">
        <v>71</v>
      </c>
      <c r="C147" s="6"/>
      <c r="D147" s="6">
        <v>6.5</v>
      </c>
    </row>
    <row r="148" spans="1:4" ht="14.25">
      <c r="A148" s="6" t="s">
        <v>422</v>
      </c>
      <c r="B148" s="6" t="s">
        <v>42</v>
      </c>
      <c r="C148" s="6"/>
      <c r="D148" s="6">
        <v>6.5</v>
      </c>
    </row>
    <row r="149" spans="1:4" ht="14.25">
      <c r="A149" s="6" t="s">
        <v>423</v>
      </c>
      <c r="B149" s="6" t="s">
        <v>42</v>
      </c>
      <c r="C149" s="6"/>
      <c r="D149" s="6">
        <v>7.5</v>
      </c>
    </row>
    <row r="150" spans="1:4" ht="14.25">
      <c r="A150" s="6" t="s">
        <v>424</v>
      </c>
      <c r="B150" s="6" t="s">
        <v>42</v>
      </c>
      <c r="C150" s="6"/>
      <c r="D150" s="6">
        <v>8</v>
      </c>
    </row>
    <row r="151" spans="1:4" ht="14.25">
      <c r="A151" s="6" t="s">
        <v>425</v>
      </c>
      <c r="B151" s="6" t="s">
        <v>42</v>
      </c>
      <c r="C151" s="6"/>
      <c r="D151" s="6">
        <v>2.8</v>
      </c>
    </row>
    <row r="152" spans="1:4" ht="14.25">
      <c r="A152" s="6" t="s">
        <v>426</v>
      </c>
      <c r="B152" s="6" t="s">
        <v>42</v>
      </c>
      <c r="C152" s="6"/>
      <c r="D152" s="6">
        <v>2.9</v>
      </c>
    </row>
    <row r="153" spans="1:4" ht="14.25">
      <c r="A153" s="6" t="s">
        <v>427</v>
      </c>
      <c r="B153" s="6" t="s">
        <v>42</v>
      </c>
      <c r="C153" s="6"/>
      <c r="D153" s="6">
        <v>6.5</v>
      </c>
    </row>
    <row r="154" spans="1:4" ht="14.25">
      <c r="A154" s="6" t="s">
        <v>296</v>
      </c>
      <c r="B154" s="6" t="s">
        <v>42</v>
      </c>
      <c r="C154" s="6"/>
      <c r="D154" s="6">
        <v>15</v>
      </c>
    </row>
    <row r="155" spans="1:4" ht="14.25">
      <c r="A155" s="6" t="s">
        <v>428</v>
      </c>
      <c r="B155" s="6" t="s">
        <v>40</v>
      </c>
      <c r="C155" s="6"/>
      <c r="D155" s="6">
        <v>7</v>
      </c>
    </row>
    <row r="156" spans="1:4" ht="14.25">
      <c r="A156" s="6" t="s">
        <v>429</v>
      </c>
      <c r="B156" s="6" t="s">
        <v>42</v>
      </c>
      <c r="C156" s="6"/>
      <c r="D156" s="6">
        <v>15</v>
      </c>
    </row>
    <row r="157" spans="1:4" ht="14.25">
      <c r="A157" s="6" t="s">
        <v>430</v>
      </c>
      <c r="B157" s="6" t="s">
        <v>42</v>
      </c>
      <c r="C157" s="6"/>
      <c r="D157" s="6">
        <v>10</v>
      </c>
    </row>
    <row r="158" spans="1:4" ht="14.25">
      <c r="A158" s="6" t="s">
        <v>431</v>
      </c>
      <c r="B158" s="6" t="s">
        <v>42</v>
      </c>
      <c r="C158" s="6"/>
      <c r="D158" s="6">
        <v>3.5</v>
      </c>
    </row>
    <row r="159" spans="1:4" ht="14.25">
      <c r="A159" s="6" t="s">
        <v>330</v>
      </c>
      <c r="B159" s="6" t="s">
        <v>42</v>
      </c>
      <c r="C159" s="6"/>
      <c r="D159" s="6">
        <v>5.8</v>
      </c>
    </row>
    <row r="160" spans="1:4" ht="14.25">
      <c r="A160" s="6" t="s">
        <v>331</v>
      </c>
      <c r="B160" s="6" t="s">
        <v>42</v>
      </c>
      <c r="C160" s="6"/>
      <c r="D160" s="6">
        <v>6.5</v>
      </c>
    </row>
    <row r="161" spans="1:4" ht="14.25">
      <c r="A161" s="6" t="s">
        <v>332</v>
      </c>
      <c r="B161" s="6" t="s">
        <v>42</v>
      </c>
      <c r="C161" s="6"/>
      <c r="D161" s="6">
        <v>7.5</v>
      </c>
    </row>
    <row r="162" spans="1:4" ht="14.25">
      <c r="A162" s="6" t="s">
        <v>432</v>
      </c>
      <c r="B162" s="6" t="s">
        <v>42</v>
      </c>
      <c r="C162" s="6"/>
      <c r="D162" s="6">
        <v>6.5</v>
      </c>
    </row>
    <row r="163" spans="1:4" ht="14.25">
      <c r="A163" s="6" t="s">
        <v>433</v>
      </c>
      <c r="B163" s="6" t="s">
        <v>71</v>
      </c>
      <c r="C163" s="6"/>
      <c r="D163" s="6">
        <v>4.5</v>
      </c>
    </row>
    <row r="164" spans="1:4" ht="14.25">
      <c r="A164" s="6" t="s">
        <v>434</v>
      </c>
      <c r="B164" s="6" t="s">
        <v>71</v>
      </c>
      <c r="C164" s="6"/>
      <c r="D164" s="6">
        <v>4</v>
      </c>
    </row>
    <row r="165" spans="1:4" ht="14.25">
      <c r="A165" s="6" t="s">
        <v>435</v>
      </c>
      <c r="B165" s="6" t="s">
        <v>42</v>
      </c>
      <c r="C165" s="6"/>
      <c r="D165" s="6">
        <v>11.5</v>
      </c>
    </row>
    <row r="166" spans="1:4" ht="14.25">
      <c r="A166" s="6" t="s">
        <v>436</v>
      </c>
      <c r="B166" s="6" t="s">
        <v>42</v>
      </c>
      <c r="C166" s="6"/>
      <c r="D166" s="6">
        <v>6.5</v>
      </c>
    </row>
    <row r="167" spans="1:4" ht="14.25">
      <c r="A167" s="6" t="s">
        <v>310</v>
      </c>
      <c r="B167" s="6" t="s">
        <v>42</v>
      </c>
      <c r="C167" s="6"/>
      <c r="D167" s="6">
        <v>7.5</v>
      </c>
    </row>
    <row r="168" spans="1:4" ht="14.25">
      <c r="A168" s="6" t="s">
        <v>334</v>
      </c>
      <c r="B168" s="6" t="s">
        <v>42</v>
      </c>
      <c r="C168" s="6"/>
      <c r="D168" s="6">
        <v>9.5</v>
      </c>
    </row>
    <row r="169" spans="1:4" ht="14.25">
      <c r="A169" s="6" t="s">
        <v>335</v>
      </c>
      <c r="B169" s="6" t="s">
        <v>42</v>
      </c>
      <c r="C169" s="6"/>
      <c r="D169" s="6">
        <v>14</v>
      </c>
    </row>
    <row r="170" spans="1:4" ht="14.25">
      <c r="A170" s="6" t="s">
        <v>336</v>
      </c>
      <c r="B170" s="6" t="s">
        <v>42</v>
      </c>
      <c r="C170" s="6"/>
      <c r="D170" s="6">
        <v>6</v>
      </c>
    </row>
    <row r="171" spans="1:4" ht="14.25">
      <c r="A171" s="6" t="s">
        <v>337</v>
      </c>
      <c r="B171" s="6" t="s">
        <v>42</v>
      </c>
      <c r="C171" s="6"/>
      <c r="D171" s="6">
        <v>3.9</v>
      </c>
    </row>
    <row r="172" spans="1:4" ht="14.25">
      <c r="A172" s="6" t="s">
        <v>338</v>
      </c>
      <c r="B172" s="6" t="s">
        <v>42</v>
      </c>
      <c r="C172" s="6"/>
      <c r="D172" s="6">
        <v>9</v>
      </c>
    </row>
    <row r="173" spans="1:4" ht="14.25">
      <c r="A173" s="6" t="s">
        <v>339</v>
      </c>
      <c r="B173" s="6" t="s">
        <v>42</v>
      </c>
      <c r="C173" s="6"/>
      <c r="D173" s="6">
        <v>2</v>
      </c>
    </row>
    <row r="174" spans="1:4" ht="14.25">
      <c r="A174" s="6" t="s">
        <v>340</v>
      </c>
      <c r="B174" s="6" t="s">
        <v>42</v>
      </c>
      <c r="C174" s="6"/>
      <c r="D174" s="6">
        <v>10</v>
      </c>
    </row>
    <row r="175" spans="1:4" ht="14.25">
      <c r="A175" s="6" t="s">
        <v>341</v>
      </c>
      <c r="B175" s="6" t="s">
        <v>42</v>
      </c>
      <c r="C175" s="6"/>
      <c r="D175" s="6">
        <v>9</v>
      </c>
    </row>
    <row r="176" spans="1:4" ht="14.25">
      <c r="A176" s="6" t="s">
        <v>342</v>
      </c>
      <c r="B176" s="6" t="s">
        <v>42</v>
      </c>
      <c r="C176" s="6"/>
      <c r="D176" s="6">
        <v>5.8</v>
      </c>
    </row>
    <row r="177" spans="1:4" ht="14.25">
      <c r="A177" s="6" t="s">
        <v>343</v>
      </c>
      <c r="B177" s="6" t="s">
        <v>42</v>
      </c>
      <c r="C177" s="6"/>
      <c r="D177" s="6">
        <v>13</v>
      </c>
    </row>
    <row r="178" spans="1:4" ht="14.25">
      <c r="A178" s="6" t="s">
        <v>344</v>
      </c>
      <c r="B178" s="6" t="s">
        <v>42</v>
      </c>
      <c r="C178" s="6"/>
      <c r="D178" s="6">
        <v>5.5</v>
      </c>
    </row>
    <row r="179" spans="1:4" ht="14.25">
      <c r="A179" s="6" t="s">
        <v>345</v>
      </c>
      <c r="B179" s="6" t="s">
        <v>42</v>
      </c>
      <c r="C179" s="6"/>
      <c r="D179" s="6">
        <v>7.5</v>
      </c>
    </row>
    <row r="180" spans="1:4" ht="14.25">
      <c r="A180" s="6" t="s">
        <v>346</v>
      </c>
      <c r="B180" s="6" t="s">
        <v>42</v>
      </c>
      <c r="C180" s="6"/>
      <c r="D180" s="6">
        <v>1.2</v>
      </c>
    </row>
    <row r="181" spans="1:4" ht="14.25">
      <c r="A181" s="6" t="s">
        <v>347</v>
      </c>
      <c r="B181" s="6" t="s">
        <v>42</v>
      </c>
      <c r="C181" s="6"/>
      <c r="D181" s="6">
        <v>2.7</v>
      </c>
    </row>
    <row r="182" spans="1:4" ht="14.25">
      <c r="A182" s="6" t="s">
        <v>348</v>
      </c>
      <c r="B182" s="6" t="s">
        <v>42</v>
      </c>
      <c r="C182" s="6"/>
      <c r="D182" s="6">
        <v>8.5</v>
      </c>
    </row>
    <row r="183" spans="1:4" ht="14.25">
      <c r="A183" s="6" t="s">
        <v>349</v>
      </c>
      <c r="B183" s="6" t="s">
        <v>42</v>
      </c>
      <c r="C183" s="6"/>
      <c r="D183" s="6">
        <v>7.5</v>
      </c>
    </row>
    <row r="184" spans="1:4" ht="14.25">
      <c r="A184" s="6" t="s">
        <v>350</v>
      </c>
      <c r="B184" s="6" t="s">
        <v>42</v>
      </c>
      <c r="C184" s="6"/>
      <c r="D184" s="6">
        <v>2.6</v>
      </c>
    </row>
    <row r="185" spans="1:4" ht="14.25">
      <c r="A185" s="6" t="s">
        <v>437</v>
      </c>
      <c r="B185" s="6" t="s">
        <v>42</v>
      </c>
      <c r="C185" s="6"/>
      <c r="D185" s="6">
        <v>6</v>
      </c>
    </row>
    <row r="186" spans="1:4" ht="14.25">
      <c r="A186" s="6" t="s">
        <v>351</v>
      </c>
      <c r="B186" s="6" t="s">
        <v>42</v>
      </c>
      <c r="C186" s="6"/>
      <c r="D186" s="6">
        <v>1.6</v>
      </c>
    </row>
    <row r="187" spans="1:4" ht="14.25">
      <c r="A187" s="6" t="s">
        <v>352</v>
      </c>
      <c r="B187" s="6" t="s">
        <v>42</v>
      </c>
      <c r="C187" s="6"/>
      <c r="D187" s="6">
        <v>8</v>
      </c>
    </row>
    <row r="188" spans="1:4" ht="14.25">
      <c r="A188" s="6" t="s">
        <v>353</v>
      </c>
      <c r="B188" s="6" t="s">
        <v>42</v>
      </c>
      <c r="C188" s="6"/>
      <c r="D188" s="6">
        <v>6.5</v>
      </c>
    </row>
    <row r="189" spans="1:4" ht="14.25">
      <c r="A189" s="6" t="s">
        <v>354</v>
      </c>
      <c r="B189" s="6" t="s">
        <v>42</v>
      </c>
      <c r="C189" s="6"/>
      <c r="D189" s="6">
        <v>8</v>
      </c>
    </row>
    <row r="190" spans="1:4" ht="14.25">
      <c r="A190" s="6" t="s">
        <v>438</v>
      </c>
      <c r="B190" s="6" t="s">
        <v>42</v>
      </c>
      <c r="C190" s="6"/>
      <c r="D190" s="6">
        <v>3.5</v>
      </c>
    </row>
    <row r="191" spans="1:4" ht="14.25">
      <c r="A191" s="6" t="s">
        <v>439</v>
      </c>
      <c r="B191" s="6" t="s">
        <v>42</v>
      </c>
      <c r="C191" s="6"/>
      <c r="D191" s="6">
        <v>12</v>
      </c>
    </row>
    <row r="192" spans="1:4" ht="14.25">
      <c r="A192" s="6" t="s">
        <v>355</v>
      </c>
      <c r="B192" s="6" t="s">
        <v>42</v>
      </c>
      <c r="C192" s="6"/>
      <c r="D192" s="6">
        <v>3.8</v>
      </c>
    </row>
    <row r="193" spans="1:4" ht="14.25">
      <c r="A193" s="6" t="s">
        <v>356</v>
      </c>
      <c r="B193" s="6" t="s">
        <v>42</v>
      </c>
      <c r="C193" s="6"/>
      <c r="D193" s="6">
        <v>4.5</v>
      </c>
    </row>
    <row r="194" spans="1:4" ht="14.25">
      <c r="A194" s="6" t="s">
        <v>291</v>
      </c>
      <c r="B194" s="6" t="s">
        <v>40</v>
      </c>
      <c r="C194" s="6"/>
      <c r="D194" s="6">
        <v>9</v>
      </c>
    </row>
    <row r="195" spans="1:4" ht="14.25">
      <c r="A195" s="6" t="s">
        <v>292</v>
      </c>
      <c r="B195" s="6" t="s">
        <v>40</v>
      </c>
      <c r="C195" s="6"/>
      <c r="D195" s="6">
        <v>8</v>
      </c>
    </row>
    <row r="196" spans="1:4" ht="14.25">
      <c r="A196" s="6" t="s">
        <v>440</v>
      </c>
      <c r="B196" s="6" t="s">
        <v>441</v>
      </c>
      <c r="C196" s="6"/>
      <c r="D196" s="6">
        <v>9.5</v>
      </c>
    </row>
    <row r="197" spans="1:4" ht="14.25">
      <c r="A197" s="6" t="s">
        <v>442</v>
      </c>
      <c r="B197" s="6" t="s">
        <v>441</v>
      </c>
      <c r="C197" s="6"/>
      <c r="D197" s="6">
        <v>8</v>
      </c>
    </row>
    <row r="198" spans="1:4" ht="14.25">
      <c r="A198" s="6" t="s">
        <v>443</v>
      </c>
      <c r="B198" s="6" t="s">
        <v>42</v>
      </c>
      <c r="C198" s="6"/>
      <c r="D198" s="6">
        <v>3.9</v>
      </c>
    </row>
    <row r="199" spans="1:4" ht="14.25">
      <c r="A199" s="6" t="s">
        <v>358</v>
      </c>
      <c r="B199" s="6" t="s">
        <v>40</v>
      </c>
      <c r="C199" s="6"/>
      <c r="D199" s="6">
        <v>12</v>
      </c>
    </row>
    <row r="200" spans="1:4" ht="14.25">
      <c r="A200" s="6" t="s">
        <v>359</v>
      </c>
      <c r="B200" s="6" t="s">
        <v>42</v>
      </c>
      <c r="C200" s="6"/>
      <c r="D200" s="6">
        <v>3.8</v>
      </c>
    </row>
    <row r="201" spans="1:4" ht="14.25">
      <c r="A201" s="6" t="s">
        <v>444</v>
      </c>
      <c r="B201" s="6" t="s">
        <v>42</v>
      </c>
      <c r="C201" s="6"/>
      <c r="D201" s="6">
        <v>2.5</v>
      </c>
    </row>
    <row r="202" spans="1:4" ht="14.25">
      <c r="A202" s="6" t="s">
        <v>445</v>
      </c>
      <c r="B202" s="6" t="s">
        <v>40</v>
      </c>
      <c r="C202" s="6"/>
      <c r="D202" s="6">
        <v>12</v>
      </c>
    </row>
    <row r="203" spans="1:4" ht="14.25">
      <c r="A203" s="6" t="s">
        <v>446</v>
      </c>
      <c r="B203" s="6" t="s">
        <v>40</v>
      </c>
      <c r="C203" s="6"/>
      <c r="D203" s="6">
        <v>12</v>
      </c>
    </row>
    <row r="204" spans="1:4" ht="14.25">
      <c r="A204" s="6" t="s">
        <v>447</v>
      </c>
      <c r="B204" s="6" t="s">
        <v>42</v>
      </c>
      <c r="C204" s="6"/>
      <c r="D204" s="6">
        <v>4.5</v>
      </c>
    </row>
    <row r="205" spans="1:4" ht="14.25">
      <c r="A205" s="6" t="s">
        <v>448</v>
      </c>
      <c r="B205" s="6" t="s">
        <v>42</v>
      </c>
      <c r="C205" s="6"/>
      <c r="D205" s="6">
        <v>3.5</v>
      </c>
    </row>
    <row r="206" spans="1:4" ht="14.25">
      <c r="A206" s="6" t="s">
        <v>449</v>
      </c>
      <c r="B206" s="6" t="s">
        <v>42</v>
      </c>
      <c r="C206" s="6"/>
      <c r="D206" s="6">
        <v>5.5</v>
      </c>
    </row>
    <row r="207" spans="1:4" ht="14.25">
      <c r="A207" s="6" t="s">
        <v>450</v>
      </c>
      <c r="B207" s="6" t="s">
        <v>42</v>
      </c>
      <c r="C207" s="6"/>
      <c r="D207" s="6">
        <v>2.6</v>
      </c>
    </row>
    <row r="208" spans="1:4" ht="14.25">
      <c r="A208" s="6" t="s">
        <v>451</v>
      </c>
      <c r="B208" s="6" t="s">
        <v>42</v>
      </c>
      <c r="C208" s="6"/>
      <c r="D208" s="6">
        <v>7.5</v>
      </c>
    </row>
    <row r="209" spans="1:4" ht="14.25">
      <c r="A209" s="6" t="s">
        <v>452</v>
      </c>
      <c r="B209" s="6" t="s">
        <v>42</v>
      </c>
      <c r="C209" s="6"/>
      <c r="D209" s="6">
        <v>4.8</v>
      </c>
    </row>
    <row r="210" spans="1:4" ht="14.25">
      <c r="A210" s="6" t="s">
        <v>453</v>
      </c>
      <c r="B210" s="6" t="s">
        <v>42</v>
      </c>
      <c r="C210" s="6"/>
      <c r="D210" s="6">
        <v>6.5</v>
      </c>
    </row>
    <row r="211" spans="1:4" ht="14.25">
      <c r="A211" s="6" t="s">
        <v>454</v>
      </c>
      <c r="B211" s="6" t="s">
        <v>42</v>
      </c>
      <c r="C211" s="6"/>
      <c r="D211" s="6">
        <v>3.8</v>
      </c>
    </row>
    <row r="212" spans="1:4" ht="14.25">
      <c r="A212" s="6" t="s">
        <v>455</v>
      </c>
      <c r="B212" s="6" t="s">
        <v>42</v>
      </c>
      <c r="C212" s="6"/>
      <c r="D212" s="6">
        <v>7.5</v>
      </c>
    </row>
    <row r="213" spans="1:4" ht="14.25">
      <c r="A213" s="6" t="s">
        <v>456</v>
      </c>
      <c r="B213" s="6" t="s">
        <v>42</v>
      </c>
      <c r="C213" s="6"/>
      <c r="D213" s="6">
        <v>4.5</v>
      </c>
    </row>
    <row r="214" spans="1:4" ht="14.25">
      <c r="A214" s="6" t="s">
        <v>457</v>
      </c>
      <c r="B214" s="6" t="s">
        <v>42</v>
      </c>
      <c r="C214" s="6"/>
      <c r="D214" s="6">
        <v>5.5</v>
      </c>
    </row>
    <row r="215" spans="1:4" ht="14.25">
      <c r="A215" s="6" t="s">
        <v>357</v>
      </c>
      <c r="B215" s="6" t="s">
        <v>42</v>
      </c>
      <c r="C215" s="6"/>
      <c r="D215" s="6">
        <v>4</v>
      </c>
    </row>
    <row r="216" spans="1:4" ht="14.25">
      <c r="A216" s="6" t="s">
        <v>437</v>
      </c>
      <c r="B216" s="6" t="s">
        <v>42</v>
      </c>
      <c r="C216" s="6"/>
      <c r="D216" s="6">
        <v>5.5</v>
      </c>
    </row>
    <row r="217" spans="1:4" ht="14.25">
      <c r="A217" s="6" t="s">
        <v>458</v>
      </c>
      <c r="B217" s="6" t="s">
        <v>42</v>
      </c>
      <c r="C217" s="6"/>
      <c r="D217" s="6">
        <v>3.5</v>
      </c>
    </row>
    <row r="218" spans="1:4" ht="14.25">
      <c r="A218" s="6" t="s">
        <v>459</v>
      </c>
      <c r="B218" s="6" t="s">
        <v>42</v>
      </c>
      <c r="C218" s="6"/>
      <c r="D218" s="6">
        <v>1.5</v>
      </c>
    </row>
    <row r="219" spans="1:4" ht="14.25">
      <c r="A219" s="6" t="s">
        <v>460</v>
      </c>
      <c r="B219" s="6" t="s">
        <v>40</v>
      </c>
      <c r="C219" s="6"/>
      <c r="D219" s="6">
        <v>12</v>
      </c>
    </row>
    <row r="220" spans="1:4" ht="14.25">
      <c r="A220" s="6" t="s">
        <v>461</v>
      </c>
      <c r="B220" s="6" t="s">
        <v>42</v>
      </c>
      <c r="C220" s="6"/>
      <c r="D220" s="6">
        <v>4.5</v>
      </c>
    </row>
    <row r="221" spans="1:4" ht="14.25">
      <c r="A221" s="6" t="s">
        <v>462</v>
      </c>
      <c r="B221" s="6" t="s">
        <v>42</v>
      </c>
      <c r="C221" s="6"/>
      <c r="D221" s="6">
        <v>4.5999999999999996</v>
      </c>
    </row>
    <row r="222" spans="1:4" ht="14.25">
      <c r="A222" s="6" t="s">
        <v>463</v>
      </c>
      <c r="B222" s="6" t="s">
        <v>40</v>
      </c>
      <c r="C222" s="6"/>
      <c r="D222" s="6">
        <v>10</v>
      </c>
    </row>
    <row r="223" spans="1:4" ht="14.25">
      <c r="A223" s="6" t="s">
        <v>464</v>
      </c>
      <c r="B223" s="6" t="s">
        <v>102</v>
      </c>
      <c r="C223" s="6" t="s">
        <v>76</v>
      </c>
      <c r="D223" s="6">
        <v>75</v>
      </c>
    </row>
    <row r="224" spans="1:4" ht="14.25">
      <c r="A224" s="6" t="s">
        <v>465</v>
      </c>
      <c r="B224" s="6" t="s">
        <v>42</v>
      </c>
      <c r="C224" s="6"/>
      <c r="D224" s="6">
        <v>14</v>
      </c>
    </row>
    <row r="225" spans="1:4" ht="14.25">
      <c r="A225" s="6" t="s">
        <v>466</v>
      </c>
      <c r="B225" s="6" t="s">
        <v>42</v>
      </c>
      <c r="C225" s="6"/>
      <c r="D225" s="6">
        <v>18</v>
      </c>
    </row>
    <row r="226" spans="1:4" ht="14.25">
      <c r="A226" s="6" t="s">
        <v>467</v>
      </c>
      <c r="B226" s="6" t="s">
        <v>42</v>
      </c>
      <c r="C226" s="6"/>
      <c r="D226" s="6">
        <v>10</v>
      </c>
    </row>
    <row r="227" spans="1:4" ht="14.25">
      <c r="A227" s="6" t="s">
        <v>468</v>
      </c>
      <c r="B227" s="6" t="s">
        <v>102</v>
      </c>
      <c r="C227" s="6" t="s">
        <v>138</v>
      </c>
      <c r="D227" s="6">
        <v>48</v>
      </c>
    </row>
    <row r="228" spans="1:4" ht="14.25">
      <c r="A228" s="6" t="s">
        <v>469</v>
      </c>
      <c r="B228" s="6" t="s">
        <v>102</v>
      </c>
      <c r="C228" s="6" t="s">
        <v>232</v>
      </c>
      <c r="D228" s="6">
        <v>45</v>
      </c>
    </row>
    <row r="229" spans="1:4" ht="14.25">
      <c r="A229" s="6" t="s">
        <v>470</v>
      </c>
      <c r="B229" s="6" t="s">
        <v>102</v>
      </c>
      <c r="C229" s="6" t="s">
        <v>241</v>
      </c>
      <c r="D229" s="6">
        <v>54</v>
      </c>
    </row>
    <row r="230" spans="1:4" ht="14.25">
      <c r="A230" s="6" t="s">
        <v>471</v>
      </c>
      <c r="B230" s="6" t="s">
        <v>102</v>
      </c>
      <c r="C230" s="6" t="s">
        <v>269</v>
      </c>
      <c r="D230" s="6">
        <v>75</v>
      </c>
    </row>
    <row r="231" spans="1:4" ht="14.25">
      <c r="A231" s="6" t="s">
        <v>472</v>
      </c>
      <c r="B231" s="6" t="s">
        <v>102</v>
      </c>
      <c r="C231" s="6" t="s">
        <v>241</v>
      </c>
      <c r="D231" s="6">
        <v>65</v>
      </c>
    </row>
    <row r="232" spans="1:4" ht="14.25">
      <c r="A232" s="6" t="s">
        <v>473</v>
      </c>
      <c r="B232" s="6" t="s">
        <v>102</v>
      </c>
      <c r="C232" s="6" t="s">
        <v>174</v>
      </c>
      <c r="D232" s="6">
        <v>21</v>
      </c>
    </row>
    <row r="233" spans="1:4" ht="14.25">
      <c r="A233" s="6" t="s">
        <v>474</v>
      </c>
      <c r="B233" s="6" t="s">
        <v>102</v>
      </c>
      <c r="C233" s="6" t="s">
        <v>475</v>
      </c>
      <c r="D233" s="6">
        <v>35</v>
      </c>
    </row>
    <row r="234" spans="1:4" ht="14.25">
      <c r="A234" s="6" t="s">
        <v>476</v>
      </c>
      <c r="B234" s="6" t="s">
        <v>102</v>
      </c>
      <c r="C234" s="6" t="s">
        <v>241</v>
      </c>
      <c r="D234" s="6">
        <v>55</v>
      </c>
    </row>
    <row r="235" spans="1:4" ht="14.25">
      <c r="A235" s="6" t="s">
        <v>477</v>
      </c>
      <c r="B235" s="6" t="s">
        <v>102</v>
      </c>
      <c r="C235" s="6" t="s">
        <v>138</v>
      </c>
      <c r="D235" s="6">
        <v>33</v>
      </c>
    </row>
    <row r="236" spans="1:4" ht="14.25">
      <c r="A236" s="6" t="s">
        <v>478</v>
      </c>
      <c r="B236" s="6" t="s">
        <v>102</v>
      </c>
      <c r="C236" s="6" t="s">
        <v>269</v>
      </c>
      <c r="D236" s="6">
        <v>115</v>
      </c>
    </row>
    <row r="237" spans="1:4" ht="14.25">
      <c r="A237" s="6" t="s">
        <v>479</v>
      </c>
      <c r="B237" s="6" t="s">
        <v>42</v>
      </c>
      <c r="C237" s="6"/>
      <c r="D237" s="6">
        <v>45</v>
      </c>
    </row>
    <row r="238" spans="1:4" ht="14.25">
      <c r="A238" s="6" t="s">
        <v>480</v>
      </c>
      <c r="B238" s="6" t="s">
        <v>71</v>
      </c>
      <c r="C238" s="6" t="s">
        <v>481</v>
      </c>
      <c r="D238" s="6">
        <v>9</v>
      </c>
    </row>
    <row r="239" spans="1:4" ht="14.25">
      <c r="A239" s="6" t="s">
        <v>482</v>
      </c>
      <c r="B239" s="6" t="s">
        <v>97</v>
      </c>
      <c r="C239" s="6" t="s">
        <v>483</v>
      </c>
      <c r="D239" s="6">
        <v>88</v>
      </c>
    </row>
    <row r="240" spans="1:4" ht="14.25">
      <c r="A240" s="6" t="s">
        <v>484</v>
      </c>
      <c r="B240" s="6" t="s">
        <v>97</v>
      </c>
      <c r="C240" s="6" t="s">
        <v>485</v>
      </c>
      <c r="D240" s="6">
        <v>92</v>
      </c>
    </row>
    <row r="241" spans="1:4" ht="14.25">
      <c r="A241" s="6" t="s">
        <v>486</v>
      </c>
      <c r="B241" s="6" t="s">
        <v>97</v>
      </c>
      <c r="C241" s="6" t="s">
        <v>487</v>
      </c>
      <c r="D241" s="6">
        <v>92</v>
      </c>
    </row>
    <row r="242" spans="1:4" ht="14.25">
      <c r="A242" s="6" t="s">
        <v>488</v>
      </c>
      <c r="B242" s="6" t="s">
        <v>71</v>
      </c>
      <c r="C242" s="6" t="s">
        <v>489</v>
      </c>
      <c r="D242" s="6">
        <v>2.2999999999999998</v>
      </c>
    </row>
    <row r="243" spans="1:4" ht="14.25">
      <c r="A243" s="6" t="s">
        <v>490</v>
      </c>
      <c r="B243" s="6" t="s">
        <v>97</v>
      </c>
      <c r="C243" s="6" t="s">
        <v>491</v>
      </c>
      <c r="D243" s="6">
        <v>405</v>
      </c>
    </row>
    <row r="244" spans="1:4" ht="14.25">
      <c r="A244" s="6" t="s">
        <v>492</v>
      </c>
      <c r="B244" s="6" t="s">
        <v>97</v>
      </c>
      <c r="C244" s="6" t="s">
        <v>493</v>
      </c>
      <c r="D244" s="6">
        <v>70</v>
      </c>
    </row>
    <row r="245" spans="1:4" ht="14.25">
      <c r="A245" s="6" t="s">
        <v>494</v>
      </c>
      <c r="B245" s="6" t="s">
        <v>71</v>
      </c>
      <c r="C245" s="6" t="s">
        <v>495</v>
      </c>
      <c r="D245" s="6">
        <v>295</v>
      </c>
    </row>
    <row r="246" spans="1:4" ht="14.25">
      <c r="A246" s="6" t="s">
        <v>496</v>
      </c>
      <c r="B246" s="6" t="s">
        <v>97</v>
      </c>
      <c r="C246" s="6" t="s">
        <v>497</v>
      </c>
      <c r="D246" s="6">
        <v>330</v>
      </c>
    </row>
    <row r="247" spans="1:4" ht="14.25">
      <c r="A247" s="6" t="s">
        <v>498</v>
      </c>
      <c r="B247" s="6" t="s">
        <v>97</v>
      </c>
      <c r="C247" s="6" t="s">
        <v>499</v>
      </c>
      <c r="D247" s="6">
        <v>108</v>
      </c>
    </row>
    <row r="248" spans="1:4" ht="14.25">
      <c r="A248" s="6" t="s">
        <v>500</v>
      </c>
      <c r="B248" s="6" t="s">
        <v>97</v>
      </c>
      <c r="C248" s="6" t="s">
        <v>499</v>
      </c>
      <c r="D248" s="6">
        <v>108</v>
      </c>
    </row>
    <row r="249" spans="1:4" ht="14.25">
      <c r="A249" s="6" t="s">
        <v>501</v>
      </c>
      <c r="B249" s="6" t="s">
        <v>97</v>
      </c>
      <c r="C249" s="6" t="s">
        <v>502</v>
      </c>
      <c r="D249" s="6">
        <v>175</v>
      </c>
    </row>
    <row r="250" spans="1:4" ht="14.25">
      <c r="A250" s="6" t="s">
        <v>503</v>
      </c>
      <c r="B250" s="6" t="s">
        <v>97</v>
      </c>
      <c r="C250" s="6" t="s">
        <v>504</v>
      </c>
      <c r="D250" s="6">
        <v>35</v>
      </c>
    </row>
    <row r="251" spans="1:4" ht="14.25">
      <c r="A251" s="6" t="s">
        <v>505</v>
      </c>
      <c r="B251" s="6" t="s">
        <v>102</v>
      </c>
      <c r="C251" s="6" t="s">
        <v>116</v>
      </c>
      <c r="D251" s="6">
        <v>36</v>
      </c>
    </row>
    <row r="252" spans="1:4" ht="14.25">
      <c r="A252" s="6" t="s">
        <v>506</v>
      </c>
      <c r="B252" s="6" t="s">
        <v>112</v>
      </c>
      <c r="C252" s="6" t="s">
        <v>507</v>
      </c>
      <c r="D252" s="6">
        <v>308</v>
      </c>
    </row>
    <row r="253" spans="1:4" ht="14.25">
      <c r="A253" s="6" t="s">
        <v>508</v>
      </c>
      <c r="B253" s="6" t="s">
        <v>42</v>
      </c>
      <c r="C253" s="6"/>
      <c r="D253" s="6">
        <v>6</v>
      </c>
    </row>
    <row r="254" spans="1:4" ht="14.25">
      <c r="A254" s="6" t="s">
        <v>509</v>
      </c>
      <c r="B254" s="6" t="s">
        <v>102</v>
      </c>
      <c r="C254" s="6" t="s">
        <v>145</v>
      </c>
      <c r="D254" s="6">
        <v>34</v>
      </c>
    </row>
    <row r="255" spans="1:4" ht="14.25">
      <c r="A255" s="6" t="s">
        <v>510</v>
      </c>
      <c r="B255" s="6" t="s">
        <v>97</v>
      </c>
      <c r="C255" s="6" t="s">
        <v>511</v>
      </c>
      <c r="D255" s="6">
        <v>35</v>
      </c>
    </row>
    <row r="256" spans="1:4" ht="14.25">
      <c r="A256" s="6" t="s">
        <v>512</v>
      </c>
      <c r="B256" s="6" t="s">
        <v>97</v>
      </c>
      <c r="C256" s="6" t="s">
        <v>511</v>
      </c>
      <c r="D256" s="6">
        <v>240</v>
      </c>
    </row>
    <row r="257" spans="1:4" ht="14.25">
      <c r="A257" s="6" t="s">
        <v>513</v>
      </c>
      <c r="B257" s="6" t="s">
        <v>97</v>
      </c>
      <c r="C257" s="6" t="s">
        <v>491</v>
      </c>
      <c r="D257" s="6">
        <v>36.5</v>
      </c>
    </row>
    <row r="258" spans="1:4" ht="14.25">
      <c r="A258" s="6" t="s">
        <v>514</v>
      </c>
      <c r="B258" s="6" t="s">
        <v>97</v>
      </c>
      <c r="C258" s="6" t="s">
        <v>515</v>
      </c>
      <c r="D258" s="6">
        <v>72</v>
      </c>
    </row>
    <row r="259" spans="1:4" ht="14.25">
      <c r="A259" s="6" t="s">
        <v>516</v>
      </c>
      <c r="B259" s="6" t="s">
        <v>97</v>
      </c>
      <c r="C259" s="6" t="s">
        <v>517</v>
      </c>
      <c r="D259" s="6">
        <v>116</v>
      </c>
    </row>
    <row r="260" spans="1:4" ht="14.25">
      <c r="A260" s="6" t="s">
        <v>518</v>
      </c>
      <c r="B260" s="6" t="s">
        <v>97</v>
      </c>
      <c r="C260" s="6" t="s">
        <v>519</v>
      </c>
      <c r="D260" s="6">
        <v>210</v>
      </c>
    </row>
    <row r="261" spans="1:4" ht="14.25">
      <c r="A261" s="6" t="s">
        <v>520</v>
      </c>
      <c r="B261" s="6" t="s">
        <v>71</v>
      </c>
      <c r="C261" s="6"/>
      <c r="D261" s="6">
        <v>18</v>
      </c>
    </row>
    <row r="262" spans="1:4" ht="14.25">
      <c r="A262" s="6" t="s">
        <v>521</v>
      </c>
      <c r="B262" s="6" t="s">
        <v>522</v>
      </c>
      <c r="C262" s="6"/>
      <c r="D262" s="6">
        <v>140</v>
      </c>
    </row>
    <row r="263" spans="1:4">
      <c r="A263" s="2" t="s">
        <v>523</v>
      </c>
      <c r="B263" s="2" t="s">
        <v>102</v>
      </c>
      <c r="D263" s="2">
        <v>26</v>
      </c>
    </row>
    <row r="264" spans="1:4">
      <c r="A264" s="2" t="s">
        <v>524</v>
      </c>
      <c r="B264" s="2" t="s">
        <v>42</v>
      </c>
      <c r="C264" s="2">
        <v>5</v>
      </c>
      <c r="D264" s="2">
        <v>8</v>
      </c>
    </row>
    <row r="265" spans="1:4">
      <c r="A265" s="2" t="s">
        <v>525</v>
      </c>
      <c r="B265" s="2" t="s">
        <v>93</v>
      </c>
      <c r="D265" s="2">
        <v>45</v>
      </c>
    </row>
    <row r="266" spans="1:4">
      <c r="A266" s="2" t="s">
        <v>526</v>
      </c>
      <c r="B266" s="2" t="s">
        <v>42</v>
      </c>
      <c r="D266" s="2">
        <v>16.5</v>
      </c>
    </row>
    <row r="267" spans="1:4">
      <c r="A267" s="2" t="s">
        <v>527</v>
      </c>
      <c r="B267" s="2" t="s">
        <v>102</v>
      </c>
      <c r="D267" s="2">
        <v>15</v>
      </c>
    </row>
    <row r="268" spans="1:4">
      <c r="A268" s="2" t="s">
        <v>528</v>
      </c>
      <c r="B268" s="2" t="s">
        <v>71</v>
      </c>
      <c r="D268" s="2">
        <v>8.5</v>
      </c>
    </row>
    <row r="269" spans="1:4">
      <c r="A269" s="2" t="s">
        <v>529</v>
      </c>
      <c r="B269" s="2" t="s">
        <v>102</v>
      </c>
      <c r="D269" s="2">
        <v>10</v>
      </c>
    </row>
    <row r="270" spans="1:4">
      <c r="A270" s="2" t="s">
        <v>530</v>
      </c>
      <c r="B270" s="2" t="s">
        <v>42</v>
      </c>
      <c r="D270" s="2">
        <v>6.5</v>
      </c>
    </row>
    <row r="271" spans="1:4">
      <c r="A271" s="2" t="s">
        <v>531</v>
      </c>
      <c r="B271" s="2" t="s">
        <v>42</v>
      </c>
      <c r="D271" s="2">
        <v>17</v>
      </c>
    </row>
    <row r="272" spans="1:4">
      <c r="A272" s="2" t="s">
        <v>532</v>
      </c>
      <c r="B272" s="2" t="s">
        <v>102</v>
      </c>
      <c r="D272" s="2">
        <v>9.5</v>
      </c>
    </row>
    <row r="273" spans="1:4">
      <c r="A273" s="2" t="s">
        <v>388</v>
      </c>
      <c r="B273" s="2" t="s">
        <v>71</v>
      </c>
      <c r="D273" s="2">
        <v>45</v>
      </c>
    </row>
    <row r="274" spans="1:4">
      <c r="A274" s="2" t="s">
        <v>533</v>
      </c>
      <c r="B274" s="2" t="s">
        <v>42</v>
      </c>
      <c r="D274" s="2">
        <v>3.5</v>
      </c>
    </row>
    <row r="275" spans="1:4">
      <c r="A275" s="2" t="s">
        <v>534</v>
      </c>
      <c r="B275" s="2" t="s">
        <v>102</v>
      </c>
      <c r="D275" s="2">
        <v>73</v>
      </c>
    </row>
    <row r="276" spans="1:4">
      <c r="A276" s="2" t="s">
        <v>535</v>
      </c>
      <c r="B276" s="2" t="s">
        <v>71</v>
      </c>
      <c r="D276" s="2">
        <v>38</v>
      </c>
    </row>
    <row r="277" spans="1:4">
      <c r="A277" s="2" t="s">
        <v>506</v>
      </c>
      <c r="B277" s="2" t="s">
        <v>42</v>
      </c>
      <c r="D277" s="2">
        <v>3.6</v>
      </c>
    </row>
    <row r="278" spans="1:4">
      <c r="A278" s="2" t="s">
        <v>536</v>
      </c>
      <c r="B278" s="2" t="s">
        <v>71</v>
      </c>
      <c r="D278" s="2">
        <v>8.5</v>
      </c>
    </row>
    <row r="279" spans="1:4">
      <c r="A279" s="2" t="s">
        <v>96</v>
      </c>
      <c r="B279" s="2" t="s">
        <v>97</v>
      </c>
      <c r="C279" s="2" t="s">
        <v>98</v>
      </c>
      <c r="D279" s="2">
        <v>685</v>
      </c>
    </row>
    <row r="280" spans="1:4">
      <c r="A280" s="2" t="s">
        <v>99</v>
      </c>
      <c r="B280" s="2" t="s">
        <v>40</v>
      </c>
      <c r="C280" s="2" t="s">
        <v>100</v>
      </c>
      <c r="D280" s="2">
        <v>39</v>
      </c>
    </row>
    <row r="281" spans="1:4">
      <c r="A281" s="2" t="s">
        <v>101</v>
      </c>
      <c r="B281" s="2" t="s">
        <v>102</v>
      </c>
      <c r="C281" s="2" t="s">
        <v>103</v>
      </c>
      <c r="D281" s="2">
        <v>19</v>
      </c>
    </row>
    <row r="282" spans="1:4">
      <c r="A282" s="2" t="s">
        <v>104</v>
      </c>
      <c r="B282" s="2" t="s">
        <v>97</v>
      </c>
      <c r="C282" s="2" t="s">
        <v>105</v>
      </c>
      <c r="D282" s="2">
        <v>125</v>
      </c>
    </row>
    <row r="283" spans="1:4">
      <c r="A283" s="2" t="s">
        <v>106</v>
      </c>
      <c r="B283" s="2" t="s">
        <v>102</v>
      </c>
      <c r="C283" s="2" t="s">
        <v>103</v>
      </c>
      <c r="D283" s="2">
        <v>19</v>
      </c>
    </row>
    <row r="284" spans="1:4">
      <c r="A284" s="2" t="s">
        <v>107</v>
      </c>
      <c r="B284" s="2" t="s">
        <v>97</v>
      </c>
      <c r="C284" s="2" t="s">
        <v>108</v>
      </c>
      <c r="D284" s="2">
        <v>140</v>
      </c>
    </row>
    <row r="285" spans="1:4">
      <c r="A285" s="2" t="s">
        <v>109</v>
      </c>
      <c r="B285" s="2" t="s">
        <v>97</v>
      </c>
      <c r="C285" s="2" t="s">
        <v>110</v>
      </c>
      <c r="D285" s="2">
        <v>720</v>
      </c>
    </row>
    <row r="286" spans="1:4">
      <c r="A286" s="2" t="s">
        <v>111</v>
      </c>
      <c r="B286" s="2" t="s">
        <v>112</v>
      </c>
      <c r="C286" s="2" t="s">
        <v>113</v>
      </c>
      <c r="D286" s="2">
        <v>158</v>
      </c>
    </row>
    <row r="287" spans="1:4">
      <c r="A287" s="2" t="s">
        <v>114</v>
      </c>
      <c r="B287" s="2" t="s">
        <v>112</v>
      </c>
      <c r="C287" s="2" t="s">
        <v>113</v>
      </c>
      <c r="D287" s="2">
        <v>166</v>
      </c>
    </row>
    <row r="288" spans="1:4">
      <c r="A288" s="2" t="s">
        <v>115</v>
      </c>
      <c r="B288" s="2" t="s">
        <v>102</v>
      </c>
      <c r="C288" s="2" t="s">
        <v>116</v>
      </c>
      <c r="D288" s="2">
        <v>28</v>
      </c>
    </row>
    <row r="289" spans="1:4">
      <c r="A289" s="2" t="s">
        <v>117</v>
      </c>
      <c r="B289" s="2" t="s">
        <v>102</v>
      </c>
      <c r="C289" s="2" t="s">
        <v>118</v>
      </c>
      <c r="D289" s="2">
        <v>15</v>
      </c>
    </row>
    <row r="290" spans="1:4">
      <c r="A290" s="2" t="s">
        <v>537</v>
      </c>
      <c r="B290" s="2" t="s">
        <v>42</v>
      </c>
      <c r="D290" s="2">
        <v>40</v>
      </c>
    </row>
    <row r="291" spans="1:4">
      <c r="A291" s="2" t="s">
        <v>120</v>
      </c>
      <c r="B291" s="2" t="s">
        <v>42</v>
      </c>
      <c r="D291" s="2">
        <v>7</v>
      </c>
    </row>
    <row r="292" spans="1:4">
      <c r="A292" s="2" t="s">
        <v>86</v>
      </c>
      <c r="B292" s="2" t="s">
        <v>102</v>
      </c>
      <c r="C292" s="2" t="s">
        <v>121</v>
      </c>
      <c r="D292" s="2">
        <v>33</v>
      </c>
    </row>
    <row r="293" spans="1:4">
      <c r="A293" s="2" t="s">
        <v>122</v>
      </c>
      <c r="B293" s="2" t="s">
        <v>102</v>
      </c>
      <c r="C293" s="2" t="s">
        <v>123</v>
      </c>
      <c r="D293" s="2">
        <v>23</v>
      </c>
    </row>
    <row r="294" spans="1:4">
      <c r="A294" s="2" t="s">
        <v>124</v>
      </c>
      <c r="B294" s="2" t="s">
        <v>102</v>
      </c>
      <c r="C294" s="2" t="s">
        <v>125</v>
      </c>
      <c r="D294" s="2">
        <v>34.5</v>
      </c>
    </row>
    <row r="295" spans="1:4">
      <c r="A295" s="2" t="s">
        <v>126</v>
      </c>
      <c r="B295" s="2" t="s">
        <v>102</v>
      </c>
      <c r="C295" s="2" t="s">
        <v>127</v>
      </c>
      <c r="D295" s="2">
        <v>17.5</v>
      </c>
    </row>
    <row r="296" spans="1:4">
      <c r="A296" s="2" t="s">
        <v>128</v>
      </c>
      <c r="B296" s="2" t="s">
        <v>97</v>
      </c>
      <c r="C296" s="2" t="s">
        <v>129</v>
      </c>
      <c r="D296" s="2">
        <v>710</v>
      </c>
    </row>
    <row r="297" spans="1:4">
      <c r="A297" s="2" t="s">
        <v>130</v>
      </c>
      <c r="B297" s="2" t="s">
        <v>42</v>
      </c>
      <c r="D297" s="2">
        <v>39</v>
      </c>
    </row>
    <row r="298" spans="1:4">
      <c r="A298" s="2" t="s">
        <v>131</v>
      </c>
      <c r="B298" s="2" t="s">
        <v>42</v>
      </c>
      <c r="D298" s="2">
        <v>65</v>
      </c>
    </row>
    <row r="299" spans="1:4">
      <c r="A299" s="2" t="s">
        <v>132</v>
      </c>
      <c r="B299" s="2" t="s">
        <v>133</v>
      </c>
      <c r="C299" s="2" t="s">
        <v>134</v>
      </c>
      <c r="D299" s="2">
        <v>5</v>
      </c>
    </row>
    <row r="300" spans="1:4">
      <c r="A300" s="2" t="s">
        <v>135</v>
      </c>
      <c r="B300" s="2" t="s">
        <v>102</v>
      </c>
      <c r="C300" s="2" t="s">
        <v>136</v>
      </c>
      <c r="D300" s="2">
        <v>6.5</v>
      </c>
    </row>
    <row r="301" spans="1:4">
      <c r="A301" s="2" t="s">
        <v>137</v>
      </c>
      <c r="B301" s="2" t="s">
        <v>40</v>
      </c>
      <c r="C301" s="2" t="s">
        <v>138</v>
      </c>
      <c r="D301" s="2">
        <v>10</v>
      </c>
    </row>
    <row r="302" spans="1:4">
      <c r="A302" s="2" t="s">
        <v>139</v>
      </c>
      <c r="B302" s="2" t="s">
        <v>50</v>
      </c>
      <c r="C302" s="2" t="s">
        <v>252</v>
      </c>
      <c r="D302" s="2">
        <v>7</v>
      </c>
    </row>
    <row r="303" spans="1:4">
      <c r="A303" s="2" t="s">
        <v>140</v>
      </c>
      <c r="B303" s="2" t="s">
        <v>97</v>
      </c>
      <c r="C303" s="2" t="s">
        <v>141</v>
      </c>
      <c r="D303" s="2">
        <v>317</v>
      </c>
    </row>
    <row r="304" spans="1:4">
      <c r="A304" s="2" t="s">
        <v>142</v>
      </c>
      <c r="B304" s="2" t="s">
        <v>133</v>
      </c>
      <c r="C304" s="2" t="s">
        <v>143</v>
      </c>
      <c r="D304" s="2">
        <v>8.5</v>
      </c>
    </row>
    <row r="305" spans="1:4">
      <c r="A305" s="2" t="s">
        <v>144</v>
      </c>
      <c r="B305" s="2" t="s">
        <v>40</v>
      </c>
      <c r="C305" s="2" t="s">
        <v>145</v>
      </c>
      <c r="D305" s="2">
        <v>30</v>
      </c>
    </row>
    <row r="306" spans="1:4">
      <c r="A306" s="2" t="s">
        <v>146</v>
      </c>
      <c r="B306" s="2" t="s">
        <v>42</v>
      </c>
      <c r="D306" s="2">
        <v>6</v>
      </c>
    </row>
    <row r="307" spans="1:4">
      <c r="A307" s="2" t="s">
        <v>147</v>
      </c>
      <c r="B307" s="2" t="s">
        <v>97</v>
      </c>
      <c r="C307" s="2" t="s">
        <v>148</v>
      </c>
      <c r="D307" s="2" t="s">
        <v>538</v>
      </c>
    </row>
    <row r="308" spans="1:4">
      <c r="A308" s="2" t="s">
        <v>149</v>
      </c>
      <c r="B308" s="2" t="s">
        <v>42</v>
      </c>
      <c r="D308" s="2">
        <v>8.5</v>
      </c>
    </row>
    <row r="309" spans="1:4">
      <c r="A309" s="2" t="s">
        <v>150</v>
      </c>
      <c r="B309" s="2" t="s">
        <v>42</v>
      </c>
      <c r="D309" s="2">
        <v>10</v>
      </c>
    </row>
    <row r="310" spans="1:4">
      <c r="A310" s="2" t="s">
        <v>151</v>
      </c>
      <c r="B310" s="2" t="s">
        <v>42</v>
      </c>
      <c r="D310" s="2">
        <v>4.5</v>
      </c>
    </row>
    <row r="311" spans="1:4">
      <c r="A311" s="2" t="s">
        <v>152</v>
      </c>
      <c r="B311" s="2" t="s">
        <v>71</v>
      </c>
      <c r="C311" s="2" t="s">
        <v>153</v>
      </c>
      <c r="D311" s="2">
        <v>35</v>
      </c>
    </row>
    <row r="312" spans="1:4">
      <c r="A312" s="2" t="s">
        <v>154</v>
      </c>
      <c r="B312" s="2" t="s">
        <v>102</v>
      </c>
      <c r="C312" s="2" t="s">
        <v>155</v>
      </c>
      <c r="D312" s="2">
        <v>34</v>
      </c>
    </row>
    <row r="313" spans="1:4">
      <c r="A313" s="2" t="s">
        <v>156</v>
      </c>
      <c r="B313" s="2" t="s">
        <v>102</v>
      </c>
      <c r="C313" s="2" t="s">
        <v>155</v>
      </c>
      <c r="D313" s="2">
        <v>44</v>
      </c>
    </row>
    <row r="314" spans="1:4">
      <c r="A314" s="2" t="s">
        <v>157</v>
      </c>
      <c r="B314" s="2" t="s">
        <v>40</v>
      </c>
      <c r="C314" s="2" t="s">
        <v>158</v>
      </c>
      <c r="D314" s="2">
        <v>14</v>
      </c>
    </row>
    <row r="315" spans="1:4">
      <c r="A315" s="2" t="s">
        <v>159</v>
      </c>
      <c r="B315" s="2" t="s">
        <v>93</v>
      </c>
      <c r="C315" s="2" t="s">
        <v>160</v>
      </c>
      <c r="D315" s="2">
        <v>0.85</v>
      </c>
    </row>
    <row r="316" spans="1:4">
      <c r="A316" s="2" t="s">
        <v>161</v>
      </c>
      <c r="B316" s="2" t="s">
        <v>42</v>
      </c>
      <c r="D316" s="2">
        <v>65</v>
      </c>
    </row>
    <row r="317" spans="1:4">
      <c r="A317" s="2" t="s">
        <v>539</v>
      </c>
      <c r="B317" s="2" t="s">
        <v>40</v>
      </c>
      <c r="D317" s="2">
        <v>140</v>
      </c>
    </row>
    <row r="318" spans="1:4">
      <c r="A318" s="2" t="s">
        <v>235</v>
      </c>
      <c r="B318" s="2" t="s">
        <v>42</v>
      </c>
    </row>
    <row r="319" spans="1:4">
      <c r="A319" s="2" t="s">
        <v>540</v>
      </c>
      <c r="B319" s="2" t="s">
        <v>42</v>
      </c>
    </row>
    <row r="320" spans="1:4">
      <c r="A320" s="2" t="s">
        <v>541</v>
      </c>
      <c r="B320" s="2" t="s">
        <v>102</v>
      </c>
      <c r="D320" s="2">
        <v>35</v>
      </c>
    </row>
    <row r="321" spans="1:4">
      <c r="A321" s="2" t="s">
        <v>542</v>
      </c>
      <c r="B321" s="2" t="s">
        <v>102</v>
      </c>
      <c r="D321" s="2">
        <v>6.5</v>
      </c>
    </row>
    <row r="322" spans="1:4">
      <c r="A322" s="2" t="s">
        <v>543</v>
      </c>
      <c r="B322" s="2" t="s">
        <v>102</v>
      </c>
      <c r="D322" s="2">
        <v>6</v>
      </c>
    </row>
    <row r="323" spans="1:4">
      <c r="A323" s="2" t="s">
        <v>185</v>
      </c>
      <c r="B323" s="2" t="s">
        <v>102</v>
      </c>
      <c r="D323" s="2">
        <v>21</v>
      </c>
    </row>
    <row r="324" spans="1:4">
      <c r="A324" s="2" t="s">
        <v>544</v>
      </c>
      <c r="B324" s="2" t="s">
        <v>95</v>
      </c>
      <c r="D324" s="2">
        <v>19</v>
      </c>
    </row>
    <row r="325" spans="1:4">
      <c r="A325" s="2" t="s">
        <v>545</v>
      </c>
      <c r="B325" s="2" t="s">
        <v>71</v>
      </c>
      <c r="D325" s="2">
        <v>15</v>
      </c>
    </row>
    <row r="326" spans="1:4">
      <c r="A326" s="2" t="s">
        <v>546</v>
      </c>
      <c r="B326" s="2" t="s">
        <v>71</v>
      </c>
      <c r="D326" s="2">
        <v>78</v>
      </c>
    </row>
    <row r="327" spans="1:4">
      <c r="A327" s="2" t="s">
        <v>547</v>
      </c>
      <c r="B327" s="2" t="s">
        <v>42</v>
      </c>
      <c r="D327" s="2">
        <v>35</v>
      </c>
    </row>
    <row r="328" spans="1:4">
      <c r="A328" s="2" t="s">
        <v>548</v>
      </c>
      <c r="B328" s="2" t="s">
        <v>42</v>
      </c>
      <c r="D328" s="2">
        <v>18</v>
      </c>
    </row>
    <row r="329" spans="1:4">
      <c r="A329" s="2" t="s">
        <v>549</v>
      </c>
      <c r="B329" s="2" t="s">
        <v>50</v>
      </c>
      <c r="D329" s="2">
        <v>65</v>
      </c>
    </row>
    <row r="330" spans="1:4">
      <c r="A330" s="2" t="s">
        <v>550</v>
      </c>
      <c r="B330" s="2" t="s">
        <v>95</v>
      </c>
      <c r="D330" s="2">
        <v>50</v>
      </c>
    </row>
    <row r="331" spans="1:4">
      <c r="A331" s="2" t="s">
        <v>551</v>
      </c>
      <c r="B331" s="2" t="s">
        <v>71</v>
      </c>
    </row>
    <row r="332" spans="1:4">
      <c r="A332" s="2" t="s">
        <v>171</v>
      </c>
      <c r="B332" s="2" t="s">
        <v>42</v>
      </c>
      <c r="D332" s="2">
        <v>5</v>
      </c>
    </row>
    <row r="333" spans="1:4">
      <c r="A333" s="2" t="s">
        <v>172</v>
      </c>
      <c r="B333" s="2" t="s">
        <v>42</v>
      </c>
      <c r="D333" s="2">
        <v>2.8</v>
      </c>
    </row>
    <row r="334" spans="1:4">
      <c r="A334" s="2" t="s">
        <v>173</v>
      </c>
      <c r="B334" s="2" t="s">
        <v>71</v>
      </c>
      <c r="C334" s="2" t="s">
        <v>174</v>
      </c>
      <c r="D334" s="2">
        <v>7.5</v>
      </c>
    </row>
    <row r="335" spans="1:4">
      <c r="A335" s="2" t="s">
        <v>552</v>
      </c>
      <c r="B335" s="2" t="s">
        <v>102</v>
      </c>
      <c r="C335" s="2" t="s">
        <v>125</v>
      </c>
      <c r="D335" s="2">
        <v>34.5</v>
      </c>
    </row>
    <row r="336" spans="1:4">
      <c r="A336" s="2" t="s">
        <v>175</v>
      </c>
      <c r="B336" s="2" t="s">
        <v>95</v>
      </c>
      <c r="C336" s="2" t="s">
        <v>176</v>
      </c>
      <c r="D336" s="2">
        <v>180</v>
      </c>
    </row>
    <row r="337" spans="1:4">
      <c r="A337" s="2" t="s">
        <v>177</v>
      </c>
      <c r="B337" s="2" t="s">
        <v>102</v>
      </c>
      <c r="C337" s="2" t="s">
        <v>178</v>
      </c>
      <c r="D337" s="2">
        <v>45</v>
      </c>
    </row>
    <row r="338" spans="1:4">
      <c r="A338" s="2" t="s">
        <v>179</v>
      </c>
      <c r="B338" s="2" t="s">
        <v>42</v>
      </c>
      <c r="D338" s="2">
        <v>153</v>
      </c>
    </row>
    <row r="339" spans="1:4">
      <c r="A339" s="2" t="s">
        <v>180</v>
      </c>
      <c r="B339" s="2" t="s">
        <v>42</v>
      </c>
      <c r="D339" s="2">
        <v>5.3</v>
      </c>
    </row>
    <row r="340" spans="1:4">
      <c r="A340" s="2" t="s">
        <v>181</v>
      </c>
      <c r="B340" s="2" t="s">
        <v>42</v>
      </c>
      <c r="D340" s="2">
        <v>2.8</v>
      </c>
    </row>
    <row r="341" spans="1:4">
      <c r="A341" s="2" t="s">
        <v>182</v>
      </c>
      <c r="B341" s="2" t="s">
        <v>102</v>
      </c>
      <c r="C341" s="2" t="s">
        <v>183</v>
      </c>
      <c r="D341" s="2">
        <v>115</v>
      </c>
    </row>
    <row r="342" spans="1:4">
      <c r="A342" s="2" t="s">
        <v>184</v>
      </c>
      <c r="B342" s="2" t="s">
        <v>95</v>
      </c>
      <c r="C342" s="2" t="s">
        <v>116</v>
      </c>
      <c r="D342" s="2">
        <v>35</v>
      </c>
    </row>
    <row r="343" spans="1:4">
      <c r="A343" s="2" t="s">
        <v>185</v>
      </c>
      <c r="B343" s="2" t="s">
        <v>95</v>
      </c>
      <c r="C343" s="2" t="s">
        <v>186</v>
      </c>
      <c r="D343" s="2">
        <v>21</v>
      </c>
    </row>
    <row r="344" spans="1:4">
      <c r="A344" s="2" t="s">
        <v>187</v>
      </c>
      <c r="B344" s="2" t="s">
        <v>95</v>
      </c>
      <c r="C344" s="2" t="s">
        <v>188</v>
      </c>
      <c r="D344" s="2">
        <v>77</v>
      </c>
    </row>
    <row r="345" spans="1:4">
      <c r="A345" s="2" t="s">
        <v>189</v>
      </c>
      <c r="B345" s="2" t="s">
        <v>102</v>
      </c>
      <c r="C345" s="2" t="s">
        <v>190</v>
      </c>
      <c r="D345" s="2">
        <v>45</v>
      </c>
    </row>
    <row r="346" spans="1:4">
      <c r="A346" s="2" t="s">
        <v>191</v>
      </c>
      <c r="B346" s="2" t="s">
        <v>102</v>
      </c>
      <c r="C346" s="2" t="s">
        <v>192</v>
      </c>
      <c r="D346" s="2">
        <v>21</v>
      </c>
    </row>
    <row r="347" spans="1:4">
      <c r="A347" s="2" t="s">
        <v>193</v>
      </c>
      <c r="B347" s="2" t="s">
        <v>102</v>
      </c>
      <c r="C347" s="2" t="s">
        <v>194</v>
      </c>
      <c r="D347" s="2">
        <v>11</v>
      </c>
    </row>
    <row r="348" spans="1:4">
      <c r="A348" s="2" t="s">
        <v>195</v>
      </c>
      <c r="B348" s="2" t="s">
        <v>102</v>
      </c>
      <c r="C348" s="2" t="s">
        <v>196</v>
      </c>
      <c r="D348" s="2">
        <v>20</v>
      </c>
    </row>
    <row r="349" spans="1:4">
      <c r="A349" s="2" t="s">
        <v>197</v>
      </c>
      <c r="B349" s="2" t="s">
        <v>102</v>
      </c>
      <c r="C349" s="2" t="s">
        <v>174</v>
      </c>
      <c r="D349" s="2">
        <v>44</v>
      </c>
    </row>
    <row r="350" spans="1:4">
      <c r="A350" s="2" t="s">
        <v>198</v>
      </c>
      <c r="B350" s="2" t="s">
        <v>42</v>
      </c>
      <c r="D350" s="2">
        <v>18</v>
      </c>
    </row>
    <row r="351" spans="1:4">
      <c r="A351" s="2" t="s">
        <v>199</v>
      </c>
      <c r="B351" s="2" t="s">
        <v>102</v>
      </c>
      <c r="C351" s="2" t="s">
        <v>200</v>
      </c>
      <c r="D351" s="2">
        <v>110</v>
      </c>
    </row>
    <row r="352" spans="1:4">
      <c r="A352" s="2" t="s">
        <v>201</v>
      </c>
      <c r="B352" s="2" t="s">
        <v>102</v>
      </c>
      <c r="C352" s="2" t="s">
        <v>183</v>
      </c>
      <c r="D352" s="2">
        <v>115</v>
      </c>
    </row>
    <row r="353" spans="1:4">
      <c r="A353" s="2" t="s">
        <v>202</v>
      </c>
      <c r="B353" s="2" t="s">
        <v>50</v>
      </c>
      <c r="C353" s="2" t="s">
        <v>203</v>
      </c>
      <c r="D353" s="2">
        <v>15</v>
      </c>
    </row>
    <row r="354" spans="1:4">
      <c r="A354" s="2" t="s">
        <v>142</v>
      </c>
      <c r="B354" s="2" t="s">
        <v>102</v>
      </c>
      <c r="C354" s="2" t="s">
        <v>204</v>
      </c>
      <c r="D354" s="2">
        <v>9.5</v>
      </c>
    </row>
    <row r="355" spans="1:4">
      <c r="A355" s="2" t="s">
        <v>205</v>
      </c>
      <c r="B355" s="2" t="s">
        <v>71</v>
      </c>
      <c r="C355" s="2" t="s">
        <v>174</v>
      </c>
      <c r="D355" s="2">
        <v>1.4</v>
      </c>
    </row>
    <row r="356" spans="1:4">
      <c r="A356" s="2" t="s">
        <v>206</v>
      </c>
      <c r="B356" s="2" t="s">
        <v>102</v>
      </c>
      <c r="C356" s="2" t="s">
        <v>207</v>
      </c>
      <c r="D356" s="2">
        <v>6</v>
      </c>
    </row>
    <row r="357" spans="1:4">
      <c r="A357" s="2" t="s">
        <v>208</v>
      </c>
      <c r="B357" s="2" t="s">
        <v>102</v>
      </c>
      <c r="C357" s="2" t="s">
        <v>209</v>
      </c>
      <c r="D357" s="2">
        <v>6</v>
      </c>
    </row>
    <row r="358" spans="1:4">
      <c r="A358" s="2" t="s">
        <v>210</v>
      </c>
      <c r="B358" s="2" t="s">
        <v>102</v>
      </c>
      <c r="C358" s="2" t="s">
        <v>211</v>
      </c>
      <c r="D358" s="2">
        <v>10</v>
      </c>
    </row>
    <row r="359" spans="1:4">
      <c r="A359" s="2" t="s">
        <v>212</v>
      </c>
      <c r="B359" s="2" t="s">
        <v>97</v>
      </c>
      <c r="C359" s="2" t="s">
        <v>213</v>
      </c>
      <c r="D359" s="2">
        <v>65</v>
      </c>
    </row>
    <row r="360" spans="1:4">
      <c r="A360" s="2" t="s">
        <v>214</v>
      </c>
      <c r="B360" s="2" t="s">
        <v>102</v>
      </c>
      <c r="C360" s="2" t="s">
        <v>209</v>
      </c>
      <c r="D360" s="2">
        <v>16</v>
      </c>
    </row>
    <row r="361" spans="1:4">
      <c r="A361" s="2" t="s">
        <v>215</v>
      </c>
      <c r="B361" s="2" t="s">
        <v>102</v>
      </c>
      <c r="C361" s="2" t="s">
        <v>200</v>
      </c>
      <c r="D361" s="2">
        <v>73</v>
      </c>
    </row>
    <row r="362" spans="1:4">
      <c r="A362" s="2" t="s">
        <v>216</v>
      </c>
      <c r="B362" s="2" t="s">
        <v>102</v>
      </c>
      <c r="C362" s="2" t="s">
        <v>145</v>
      </c>
      <c r="D362" s="2">
        <v>19</v>
      </c>
    </row>
    <row r="363" spans="1:4">
      <c r="A363" s="2" t="s">
        <v>217</v>
      </c>
      <c r="B363" s="2" t="s">
        <v>102</v>
      </c>
      <c r="C363" s="2" t="s">
        <v>218</v>
      </c>
      <c r="D363" s="2">
        <v>35</v>
      </c>
    </row>
    <row r="364" spans="1:4">
      <c r="A364" s="2" t="s">
        <v>219</v>
      </c>
      <c r="B364" s="2" t="s">
        <v>42</v>
      </c>
      <c r="D364" s="2">
        <v>36</v>
      </c>
    </row>
    <row r="365" spans="1:4">
      <c r="A365" s="2" t="s">
        <v>220</v>
      </c>
      <c r="B365" s="2" t="s">
        <v>42</v>
      </c>
      <c r="D365" s="2">
        <v>30</v>
      </c>
    </row>
    <row r="366" spans="1:4">
      <c r="A366" s="2" t="s">
        <v>221</v>
      </c>
      <c r="B366" s="2" t="s">
        <v>95</v>
      </c>
      <c r="C366" s="2" t="s">
        <v>222</v>
      </c>
      <c r="D366" s="2">
        <v>143</v>
      </c>
    </row>
    <row r="367" spans="1:4">
      <c r="A367" s="2" t="s">
        <v>223</v>
      </c>
      <c r="B367" s="2" t="s">
        <v>40</v>
      </c>
      <c r="C367" s="2" t="s">
        <v>224</v>
      </c>
      <c r="D367" s="2">
        <v>43</v>
      </c>
    </row>
    <row r="368" spans="1:4">
      <c r="A368" s="2" t="s">
        <v>225</v>
      </c>
      <c r="B368" s="2" t="s">
        <v>97</v>
      </c>
      <c r="C368" s="2" t="s">
        <v>226</v>
      </c>
      <c r="D368" s="2">
        <v>60</v>
      </c>
    </row>
    <row r="369" spans="1:4">
      <c r="A369" s="2" t="s">
        <v>227</v>
      </c>
      <c r="B369" s="2" t="s">
        <v>97</v>
      </c>
      <c r="C369" s="2" t="s">
        <v>228</v>
      </c>
      <c r="D369" s="2">
        <v>130</v>
      </c>
    </row>
    <row r="370" spans="1:4">
      <c r="A370" s="2" t="s">
        <v>229</v>
      </c>
      <c r="B370" s="2" t="s">
        <v>71</v>
      </c>
      <c r="C370" s="2" t="s">
        <v>230</v>
      </c>
      <c r="D370" s="2">
        <v>55</v>
      </c>
    </row>
    <row r="371" spans="1:4">
      <c r="A371" s="2" t="s">
        <v>553</v>
      </c>
      <c r="B371" s="2" t="s">
        <v>97</v>
      </c>
      <c r="D371" s="2">
        <v>39</v>
      </c>
    </row>
    <row r="372" spans="1:4">
      <c r="A372" s="2" t="s">
        <v>554</v>
      </c>
      <c r="B372" s="2" t="s">
        <v>97</v>
      </c>
      <c r="D372" s="2">
        <v>138</v>
      </c>
    </row>
    <row r="373" spans="1:4">
      <c r="A373" s="2" t="s">
        <v>518</v>
      </c>
      <c r="B373" s="2" t="s">
        <v>71</v>
      </c>
      <c r="D373" s="2">
        <v>17.5</v>
      </c>
    </row>
    <row r="374" spans="1:4">
      <c r="A374" s="2" t="s">
        <v>555</v>
      </c>
      <c r="B374" s="2" t="s">
        <v>71</v>
      </c>
      <c r="C374" s="2" t="s">
        <v>556</v>
      </c>
      <c r="D374" s="2">
        <v>235</v>
      </c>
    </row>
    <row r="375" spans="1:4">
      <c r="A375" s="2" t="s">
        <v>557</v>
      </c>
      <c r="B375" s="2" t="s">
        <v>71</v>
      </c>
      <c r="D375" s="2">
        <v>1.5</v>
      </c>
    </row>
    <row r="376" spans="1:4">
      <c r="A376" s="2" t="s">
        <v>231</v>
      </c>
      <c r="B376" s="2" t="s">
        <v>102</v>
      </c>
      <c r="C376" s="2" t="s">
        <v>232</v>
      </c>
      <c r="D376" s="2">
        <v>36</v>
      </c>
    </row>
    <row r="377" spans="1:4">
      <c r="A377" s="2" t="s">
        <v>233</v>
      </c>
      <c r="B377" s="2" t="s">
        <v>102</v>
      </c>
      <c r="D377" s="2">
        <v>26</v>
      </c>
    </row>
    <row r="378" spans="1:4">
      <c r="A378" s="2" t="s">
        <v>234</v>
      </c>
      <c r="B378" s="2" t="s">
        <v>71</v>
      </c>
      <c r="C378" s="2" t="s">
        <v>116</v>
      </c>
      <c r="D378" s="2">
        <v>28</v>
      </c>
    </row>
    <row r="379" spans="1:4">
      <c r="A379" s="2" t="s">
        <v>235</v>
      </c>
      <c r="B379" s="2" t="s">
        <v>71</v>
      </c>
      <c r="D379" s="2">
        <v>3.5</v>
      </c>
    </row>
    <row r="380" spans="1:4">
      <c r="A380" s="2" t="s">
        <v>236</v>
      </c>
      <c r="B380" s="2" t="s">
        <v>42</v>
      </c>
      <c r="D380" s="2">
        <v>43</v>
      </c>
    </row>
    <row r="381" spans="1:4">
      <c r="A381" s="2" t="s">
        <v>237</v>
      </c>
      <c r="B381" s="2" t="s">
        <v>97</v>
      </c>
      <c r="D381" s="2">
        <v>95</v>
      </c>
    </row>
    <row r="382" spans="1:4">
      <c r="A382" s="2" t="s">
        <v>238</v>
      </c>
      <c r="B382" s="2" t="s">
        <v>102</v>
      </c>
      <c r="C382" s="2" t="s">
        <v>239</v>
      </c>
      <c r="D382" s="2">
        <v>40</v>
      </c>
    </row>
    <row r="383" spans="1:4">
      <c r="A383" s="2" t="s">
        <v>240</v>
      </c>
      <c r="B383" s="2" t="s">
        <v>102</v>
      </c>
      <c r="C383" s="2" t="s">
        <v>241</v>
      </c>
      <c r="D383" s="2">
        <v>85</v>
      </c>
    </row>
    <row r="384" spans="1:4">
      <c r="A384" s="2" t="s">
        <v>242</v>
      </c>
      <c r="B384" s="2" t="s">
        <v>71</v>
      </c>
      <c r="C384" s="2" t="s">
        <v>174</v>
      </c>
      <c r="D384" s="2">
        <v>26</v>
      </c>
    </row>
    <row r="385" spans="1:4">
      <c r="A385" s="2" t="s">
        <v>243</v>
      </c>
      <c r="B385" s="2" t="s">
        <v>102</v>
      </c>
      <c r="C385" s="2" t="s">
        <v>116</v>
      </c>
      <c r="D385" s="2">
        <v>56</v>
      </c>
    </row>
    <row r="386" spans="1:4">
      <c r="A386" s="2" t="s">
        <v>244</v>
      </c>
      <c r="B386" s="2" t="s">
        <v>102</v>
      </c>
      <c r="C386" s="2" t="s">
        <v>209</v>
      </c>
      <c r="D386" s="2">
        <v>26</v>
      </c>
    </row>
    <row r="387" spans="1:4">
      <c r="A387" s="2" t="s">
        <v>245</v>
      </c>
      <c r="B387" s="2" t="s">
        <v>102</v>
      </c>
      <c r="C387" s="2" t="s">
        <v>246</v>
      </c>
      <c r="D387" s="2">
        <v>55</v>
      </c>
    </row>
    <row r="388" spans="1:4">
      <c r="A388" s="2" t="s">
        <v>247</v>
      </c>
      <c r="B388" s="2" t="s">
        <v>95</v>
      </c>
      <c r="C388" s="2" t="s">
        <v>248</v>
      </c>
      <c r="D388" s="2">
        <v>78</v>
      </c>
    </row>
    <row r="389" spans="1:4">
      <c r="A389" s="2" t="s">
        <v>249</v>
      </c>
      <c r="B389" s="2" t="s">
        <v>71</v>
      </c>
      <c r="C389" s="2" t="s">
        <v>116</v>
      </c>
      <c r="D389" s="2">
        <v>13.5</v>
      </c>
    </row>
    <row r="390" spans="1:4">
      <c r="A390" s="2" t="s">
        <v>250</v>
      </c>
      <c r="B390" s="2" t="s">
        <v>71</v>
      </c>
      <c r="D390" s="2">
        <v>5</v>
      </c>
    </row>
    <row r="391" spans="1:4">
      <c r="A391" s="2" t="s">
        <v>251</v>
      </c>
      <c r="B391" s="2" t="s">
        <v>102</v>
      </c>
      <c r="C391" s="2" t="s">
        <v>252</v>
      </c>
      <c r="D391" s="2">
        <v>78</v>
      </c>
    </row>
    <row r="392" spans="1:4">
      <c r="A392" s="2" t="s">
        <v>253</v>
      </c>
      <c r="B392" s="2" t="s">
        <v>42</v>
      </c>
      <c r="D392" s="2">
        <v>30</v>
      </c>
    </row>
    <row r="393" spans="1:4">
      <c r="A393" s="2" t="s">
        <v>254</v>
      </c>
      <c r="B393" s="2" t="s">
        <v>71</v>
      </c>
      <c r="C393" s="2" t="s">
        <v>255</v>
      </c>
      <c r="D393" s="2">
        <v>22</v>
      </c>
    </row>
    <row r="394" spans="1:4">
      <c r="A394" s="2" t="s">
        <v>256</v>
      </c>
      <c r="B394" s="2" t="s">
        <v>102</v>
      </c>
      <c r="C394" s="2" t="s">
        <v>178</v>
      </c>
      <c r="D394" s="2">
        <v>15</v>
      </c>
    </row>
    <row r="395" spans="1:4">
      <c r="A395" s="2" t="s">
        <v>257</v>
      </c>
      <c r="B395" s="2" t="s">
        <v>42</v>
      </c>
      <c r="D395" s="2">
        <v>18.5</v>
      </c>
    </row>
    <row r="396" spans="1:4">
      <c r="A396" s="2" t="s">
        <v>258</v>
      </c>
      <c r="B396" s="2" t="s">
        <v>93</v>
      </c>
      <c r="D396" s="2">
        <v>5</v>
      </c>
    </row>
    <row r="397" spans="1:4">
      <c r="A397" s="2" t="s">
        <v>259</v>
      </c>
      <c r="B397" s="2" t="s">
        <v>40</v>
      </c>
      <c r="D397" s="2">
        <v>65</v>
      </c>
    </row>
    <row r="398" spans="1:4">
      <c r="A398" s="2" t="s">
        <v>260</v>
      </c>
      <c r="B398" s="2" t="s">
        <v>50</v>
      </c>
      <c r="C398" s="2" t="s">
        <v>261</v>
      </c>
      <c r="D398" s="2">
        <v>60</v>
      </c>
    </row>
    <row r="399" spans="1:4">
      <c r="A399" s="2" t="s">
        <v>262</v>
      </c>
      <c r="B399" s="2" t="s">
        <v>50</v>
      </c>
      <c r="C399" s="2" t="s">
        <v>263</v>
      </c>
      <c r="D399" s="2">
        <v>35</v>
      </c>
    </row>
    <row r="400" spans="1:4">
      <c r="A400" s="2" t="s">
        <v>264</v>
      </c>
      <c r="B400" s="2" t="s">
        <v>50</v>
      </c>
      <c r="C400" s="2" t="s">
        <v>265</v>
      </c>
      <c r="D400" s="2">
        <v>8</v>
      </c>
    </row>
    <row r="401" spans="1:4">
      <c r="A401" s="2" t="s">
        <v>266</v>
      </c>
      <c r="B401" s="2" t="s">
        <v>95</v>
      </c>
      <c r="C401" s="2" t="s">
        <v>267</v>
      </c>
      <c r="D401" s="2">
        <v>24</v>
      </c>
    </row>
    <row r="402" spans="1:4">
      <c r="A402" s="2" t="s">
        <v>268</v>
      </c>
      <c r="B402" s="2" t="s">
        <v>102</v>
      </c>
      <c r="C402" s="2" t="s">
        <v>269</v>
      </c>
      <c r="D402" s="2">
        <v>22</v>
      </c>
    </row>
    <row r="403" spans="1:4">
      <c r="A403" s="2" t="s">
        <v>270</v>
      </c>
      <c r="B403" s="2" t="s">
        <v>97</v>
      </c>
      <c r="C403" s="2" t="s">
        <v>271</v>
      </c>
      <c r="D403" s="2">
        <v>155</v>
      </c>
    </row>
    <row r="404" spans="1:4">
      <c r="A404" s="2" t="s">
        <v>272</v>
      </c>
      <c r="B404" s="2" t="s">
        <v>40</v>
      </c>
      <c r="C404" s="2" t="s">
        <v>178</v>
      </c>
      <c r="D404" s="2">
        <v>40</v>
      </c>
    </row>
    <row r="405" spans="1:4">
      <c r="A405" s="2" t="s">
        <v>273</v>
      </c>
      <c r="B405" s="2" t="s">
        <v>71</v>
      </c>
      <c r="C405" s="2" t="s">
        <v>274</v>
      </c>
      <c r="D405" s="2">
        <v>58</v>
      </c>
    </row>
    <row r="406" spans="1:4">
      <c r="A406" s="2" t="s">
        <v>275</v>
      </c>
      <c r="B406" s="2" t="s">
        <v>102</v>
      </c>
      <c r="C406" s="2" t="s">
        <v>209</v>
      </c>
      <c r="D406" s="2">
        <v>21</v>
      </c>
    </row>
    <row r="407" spans="1:4">
      <c r="A407" s="2" t="s">
        <v>276</v>
      </c>
      <c r="B407" s="2" t="s">
        <v>95</v>
      </c>
      <c r="C407" s="2" t="s">
        <v>277</v>
      </c>
      <c r="D407" s="2">
        <v>49</v>
      </c>
    </row>
    <row r="408" spans="1:4">
      <c r="A408" s="2" t="s">
        <v>235</v>
      </c>
      <c r="B408" s="2" t="s">
        <v>71</v>
      </c>
      <c r="D408" s="2">
        <v>4</v>
      </c>
    </row>
    <row r="409" spans="1:4">
      <c r="A409" s="2" t="s">
        <v>278</v>
      </c>
      <c r="B409" s="2" t="s">
        <v>97</v>
      </c>
      <c r="C409" s="2" t="s">
        <v>279</v>
      </c>
      <c r="D409" s="2">
        <v>258</v>
      </c>
    </row>
    <row r="410" spans="1:4">
      <c r="A410" s="2" t="s">
        <v>280</v>
      </c>
      <c r="B410" s="2" t="s">
        <v>102</v>
      </c>
      <c r="C410" s="2" t="s">
        <v>281</v>
      </c>
      <c r="D410" s="2">
        <v>7.5</v>
      </c>
    </row>
    <row r="411" spans="1:4">
      <c r="A411" s="2" t="s">
        <v>282</v>
      </c>
      <c r="B411" s="2" t="s">
        <v>102</v>
      </c>
      <c r="D411" s="2">
        <v>10</v>
      </c>
    </row>
    <row r="412" spans="1:4">
      <c r="A412" s="2" t="s">
        <v>283</v>
      </c>
      <c r="B412" s="2" t="s">
        <v>102</v>
      </c>
      <c r="D412" s="2">
        <v>6.8</v>
      </c>
    </row>
    <row r="413" spans="1:4">
      <c r="A413" s="2" t="s">
        <v>284</v>
      </c>
      <c r="B413" s="2" t="s">
        <v>102</v>
      </c>
      <c r="D413" s="2">
        <v>7</v>
      </c>
    </row>
    <row r="414" spans="1:4">
      <c r="A414" s="2" t="s">
        <v>285</v>
      </c>
      <c r="B414" s="2" t="s">
        <v>71</v>
      </c>
      <c r="D414" s="2">
        <v>26</v>
      </c>
    </row>
    <row r="415" spans="1:4">
      <c r="A415" s="2" t="s">
        <v>558</v>
      </c>
      <c r="B415" s="2" t="s">
        <v>45</v>
      </c>
      <c r="C415" s="2" t="s">
        <v>162</v>
      </c>
      <c r="D415" s="2">
        <v>165</v>
      </c>
    </row>
    <row r="416" spans="1:4">
      <c r="A416" s="2" t="s">
        <v>163</v>
      </c>
      <c r="B416" s="2" t="s">
        <v>45</v>
      </c>
      <c r="C416" s="2" t="s">
        <v>164</v>
      </c>
      <c r="D416" s="2">
        <v>480</v>
      </c>
    </row>
    <row r="417" spans="1:4">
      <c r="A417" s="2" t="s">
        <v>165</v>
      </c>
      <c r="B417" s="2" t="s">
        <v>42</v>
      </c>
      <c r="D417" s="2">
        <v>90</v>
      </c>
    </row>
    <row r="418" spans="1:4">
      <c r="A418" s="2" t="s">
        <v>166</v>
      </c>
      <c r="B418" s="2" t="s">
        <v>45</v>
      </c>
      <c r="C418" s="2" t="s">
        <v>167</v>
      </c>
      <c r="D418" s="2">
        <v>65</v>
      </c>
    </row>
    <row r="419" spans="1:4">
      <c r="A419" s="2" t="s">
        <v>168</v>
      </c>
      <c r="B419" s="2" t="s">
        <v>102</v>
      </c>
      <c r="D419" s="2">
        <v>9</v>
      </c>
    </row>
    <row r="420" spans="1:4">
      <c r="A420" s="2" t="s">
        <v>169</v>
      </c>
      <c r="B420" s="2" t="s">
        <v>102</v>
      </c>
      <c r="D420" s="2">
        <v>39.5</v>
      </c>
    </row>
    <row r="421" spans="1:4">
      <c r="A421" s="2" t="s">
        <v>170</v>
      </c>
      <c r="B421" s="2" t="s">
        <v>95</v>
      </c>
      <c r="D421" s="2">
        <v>73</v>
      </c>
    </row>
    <row r="422" spans="1:4">
      <c r="A422" s="2" t="s">
        <v>559</v>
      </c>
      <c r="B422" s="2" t="s">
        <v>71</v>
      </c>
      <c r="D422" s="2">
        <v>25</v>
      </c>
    </row>
    <row r="423" spans="1:4">
      <c r="A423" s="2" t="s">
        <v>560</v>
      </c>
      <c r="B423" s="2" t="s">
        <v>40</v>
      </c>
    </row>
    <row r="424" spans="1:4">
      <c r="A424" s="2" t="s">
        <v>561</v>
      </c>
      <c r="B424" s="2" t="s">
        <v>42</v>
      </c>
      <c r="D424" s="2">
        <v>5.5</v>
      </c>
    </row>
    <row r="425" spans="1:4">
      <c r="A425" s="2" t="s">
        <v>562</v>
      </c>
      <c r="B425" s="2" t="s">
        <v>50</v>
      </c>
      <c r="D425" s="2">
        <v>8.5</v>
      </c>
    </row>
    <row r="426" spans="1:4">
      <c r="A426" s="2" t="s">
        <v>563</v>
      </c>
      <c r="B426" s="2" t="s">
        <v>50</v>
      </c>
      <c r="D426" s="2">
        <v>30</v>
      </c>
    </row>
    <row r="427" spans="1:4">
      <c r="A427" s="2" t="s">
        <v>564</v>
      </c>
      <c r="B427" s="2" t="s">
        <v>102</v>
      </c>
      <c r="D427" s="2">
        <v>8.5</v>
      </c>
    </row>
    <row r="428" spans="1:4">
      <c r="A428" s="2" t="s">
        <v>565</v>
      </c>
      <c r="B428" s="2" t="s">
        <v>95</v>
      </c>
      <c r="D428" s="2">
        <v>19.5</v>
      </c>
    </row>
    <row r="429" spans="1:4">
      <c r="A429" s="2" t="s">
        <v>566</v>
      </c>
      <c r="B429" s="2" t="s">
        <v>71</v>
      </c>
      <c r="D429" s="2">
        <v>25</v>
      </c>
    </row>
    <row r="430" spans="1:4">
      <c r="A430" s="2" t="s">
        <v>567</v>
      </c>
      <c r="B430" s="2" t="s">
        <v>102</v>
      </c>
      <c r="D430" s="2">
        <v>6</v>
      </c>
    </row>
    <row r="431" spans="1:4">
      <c r="A431" s="2" t="s">
        <v>333</v>
      </c>
      <c r="B431" s="2" t="s">
        <v>102</v>
      </c>
      <c r="D431" s="2">
        <v>14</v>
      </c>
    </row>
    <row r="432" spans="1:4">
      <c r="A432" s="2" t="s">
        <v>568</v>
      </c>
      <c r="B432" s="2" t="s">
        <v>42</v>
      </c>
      <c r="D432" s="2">
        <v>12</v>
      </c>
    </row>
    <row r="433" spans="1:4">
      <c r="A433" s="2" t="s">
        <v>569</v>
      </c>
      <c r="B433" s="2" t="s">
        <v>42</v>
      </c>
    </row>
    <row r="434" spans="1:4">
      <c r="A434" s="2" t="s">
        <v>570</v>
      </c>
      <c r="B434" s="2" t="s">
        <v>42</v>
      </c>
      <c r="D434" s="2">
        <v>4.5</v>
      </c>
    </row>
    <row r="435" spans="1:4">
      <c r="A435" s="2" t="s">
        <v>571</v>
      </c>
      <c r="B435" s="2" t="s">
        <v>71</v>
      </c>
      <c r="D435" s="2">
        <v>8.5</v>
      </c>
    </row>
    <row r="436" spans="1:4">
      <c r="A436" s="2" t="s">
        <v>572</v>
      </c>
      <c r="B436" s="2" t="s">
        <v>102</v>
      </c>
      <c r="D436" s="2">
        <v>26</v>
      </c>
    </row>
    <row r="437" spans="1:4">
      <c r="A437" s="2" t="s">
        <v>573</v>
      </c>
      <c r="B437" s="2" t="s">
        <v>102</v>
      </c>
      <c r="D437" s="2">
        <v>25.5</v>
      </c>
    </row>
    <row r="438" spans="1:4">
      <c r="A438" s="2" t="s">
        <v>574</v>
      </c>
      <c r="B438" s="2" t="s">
        <v>40</v>
      </c>
      <c r="D438" s="2">
        <v>40</v>
      </c>
    </row>
    <row r="439" spans="1:4">
      <c r="A439" s="2" t="s">
        <v>506</v>
      </c>
      <c r="B439" s="2" t="s">
        <v>42</v>
      </c>
      <c r="D439" s="2">
        <v>3.6</v>
      </c>
    </row>
    <row r="440" spans="1:4">
      <c r="A440" s="2" t="s">
        <v>568</v>
      </c>
      <c r="B440" s="2" t="s">
        <v>42</v>
      </c>
      <c r="D440" s="2">
        <v>12</v>
      </c>
    </row>
    <row r="441" spans="1:4">
      <c r="A441" s="2" t="s">
        <v>575</v>
      </c>
      <c r="B441" s="2" t="s">
        <v>102</v>
      </c>
      <c r="D441" s="2">
        <v>8</v>
      </c>
    </row>
    <row r="442" spans="1:4">
      <c r="A442" s="2" t="s">
        <v>576</v>
      </c>
      <c r="B442" s="2" t="s">
        <v>42</v>
      </c>
      <c r="D442" s="2">
        <v>19</v>
      </c>
    </row>
    <row r="443" spans="1:4">
      <c r="A443" s="2" t="s">
        <v>577</v>
      </c>
      <c r="B443" s="2" t="s">
        <v>102</v>
      </c>
      <c r="D443" s="2">
        <v>20</v>
      </c>
    </row>
    <row r="444" spans="1:4">
      <c r="A444" s="2" t="s">
        <v>578</v>
      </c>
      <c r="B444" s="2" t="s">
        <v>71</v>
      </c>
      <c r="D444" s="2">
        <v>33</v>
      </c>
    </row>
    <row r="445" spans="1:4">
      <c r="A445" s="2" t="s">
        <v>579</v>
      </c>
      <c r="B445" s="2" t="s">
        <v>71</v>
      </c>
      <c r="C445" s="2">
        <v>7</v>
      </c>
      <c r="D445" s="2">
        <v>10</v>
      </c>
    </row>
    <row r="446" spans="1:4">
      <c r="A446" s="2" t="s">
        <v>580</v>
      </c>
      <c r="B446" s="2" t="s">
        <v>42</v>
      </c>
      <c r="D446" s="2">
        <v>45</v>
      </c>
    </row>
    <row r="447" spans="1:4">
      <c r="A447" s="2" t="s">
        <v>581</v>
      </c>
      <c r="B447" s="2" t="s">
        <v>102</v>
      </c>
      <c r="D447" s="2">
        <v>5.5</v>
      </c>
    </row>
    <row r="448" spans="1:4">
      <c r="A448" s="2" t="s">
        <v>582</v>
      </c>
      <c r="B448" s="2" t="s">
        <v>102</v>
      </c>
      <c r="D448" s="2">
        <v>19</v>
      </c>
    </row>
    <row r="449" spans="1:4">
      <c r="A449" s="2" t="s">
        <v>119</v>
      </c>
      <c r="B449" s="2" t="s">
        <v>71</v>
      </c>
      <c r="C449" s="2" t="s">
        <v>583</v>
      </c>
      <c r="D449" s="2">
        <v>8.5</v>
      </c>
    </row>
    <row r="450" spans="1:4">
      <c r="A450" s="2" t="s">
        <v>584</v>
      </c>
      <c r="B450" s="2" t="s">
        <v>50</v>
      </c>
      <c r="D450" s="2">
        <v>19</v>
      </c>
    </row>
    <row r="451" spans="1:4">
      <c r="A451" s="2" t="s">
        <v>585</v>
      </c>
      <c r="B451" s="2" t="s">
        <v>586</v>
      </c>
      <c r="D451" s="2">
        <v>6</v>
      </c>
    </row>
    <row r="452" spans="1:4">
      <c r="A452" s="2" t="s">
        <v>587</v>
      </c>
      <c r="B452" s="2" t="s">
        <v>102</v>
      </c>
      <c r="D452" s="2">
        <v>8.5</v>
      </c>
    </row>
    <row r="453" spans="1:4">
      <c r="A453" s="2" t="s">
        <v>588</v>
      </c>
      <c r="B453" s="2" t="s">
        <v>42</v>
      </c>
      <c r="D453" s="2">
        <v>6.5</v>
      </c>
    </row>
    <row r="454" spans="1:4">
      <c r="A454" s="2" t="s">
        <v>589</v>
      </c>
      <c r="B454" s="2" t="s">
        <v>95</v>
      </c>
      <c r="D454" s="2">
        <v>75</v>
      </c>
    </row>
    <row r="455" spans="1:4">
      <c r="A455" s="2" t="s">
        <v>590</v>
      </c>
      <c r="B455" s="2" t="s">
        <v>102</v>
      </c>
      <c r="D455" s="2">
        <v>11.5</v>
      </c>
    </row>
    <row r="456" spans="1:4">
      <c r="A456" s="2" t="s">
        <v>591</v>
      </c>
      <c r="B456" s="2" t="s">
        <v>71</v>
      </c>
      <c r="D456" s="2">
        <v>13.5</v>
      </c>
    </row>
    <row r="457" spans="1:4">
      <c r="A457" s="2" t="s">
        <v>592</v>
      </c>
      <c r="B457" s="2" t="s">
        <v>71</v>
      </c>
      <c r="D457" s="2">
        <v>25</v>
      </c>
    </row>
    <row r="458" spans="1:4">
      <c r="A458" s="2" t="s">
        <v>545</v>
      </c>
      <c r="B458" s="2" t="s">
        <v>71</v>
      </c>
      <c r="D458" s="2">
        <v>20</v>
      </c>
    </row>
    <row r="459" spans="1:4">
      <c r="A459" s="2" t="s">
        <v>593</v>
      </c>
      <c r="B459" s="2" t="s">
        <v>71</v>
      </c>
      <c r="D459" s="2">
        <v>21</v>
      </c>
    </row>
    <row r="460" spans="1:4">
      <c r="A460" s="2" t="s">
        <v>594</v>
      </c>
      <c r="B460" s="2" t="s">
        <v>71</v>
      </c>
      <c r="C460" s="2" t="s">
        <v>595</v>
      </c>
      <c r="D460" s="2">
        <v>35</v>
      </c>
    </row>
    <row r="461" spans="1:4">
      <c r="A461" s="2" t="s">
        <v>596</v>
      </c>
      <c r="B461" s="2" t="s">
        <v>102</v>
      </c>
      <c r="D461" s="2">
        <v>21</v>
      </c>
    </row>
    <row r="462" spans="1:4">
      <c r="A462" s="2" t="s">
        <v>597</v>
      </c>
      <c r="B462" s="2" t="s">
        <v>102</v>
      </c>
      <c r="C462" s="2" t="s">
        <v>598</v>
      </c>
      <c r="D462" s="2">
        <v>40</v>
      </c>
    </row>
    <row r="463" spans="1:4">
      <c r="A463" s="2" t="s">
        <v>599</v>
      </c>
      <c r="B463" s="2" t="s">
        <v>71</v>
      </c>
      <c r="D463" s="2">
        <v>40</v>
      </c>
    </row>
    <row r="464" spans="1:4">
      <c r="A464" s="2" t="s">
        <v>600</v>
      </c>
      <c r="B464" s="2" t="s">
        <v>95</v>
      </c>
      <c r="D464" s="2">
        <v>40</v>
      </c>
    </row>
    <row r="465" spans="1:4">
      <c r="A465" s="2" t="s">
        <v>601</v>
      </c>
      <c r="B465" s="2" t="s">
        <v>71</v>
      </c>
      <c r="C465" s="2">
        <v>85</v>
      </c>
      <c r="D465" s="2">
        <v>16</v>
      </c>
    </row>
  </sheetData>
  <phoneticPr fontId="27" type="noConversion"/>
  <pageMargins left="0.69930555555555596" right="0.69930555555555596" top="0.75" bottom="0.75" header="0.3" footer="0.3"/>
  <pageSetup paperSize="152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8</vt:i4>
      </vt:variant>
    </vt:vector>
  </HeadingPairs>
  <TitlesOfParts>
    <vt:vector size="13" baseType="lpstr">
      <vt:lpstr>调料类</vt:lpstr>
      <vt:lpstr>荤菜类</vt:lpstr>
      <vt:lpstr>蔬菜类</vt:lpstr>
      <vt:lpstr>水果类</vt:lpstr>
      <vt:lpstr>原料数据</vt:lpstr>
      <vt:lpstr>荤菜类!Print_Area</vt:lpstr>
      <vt:lpstr>蔬菜类!Print_Area</vt:lpstr>
      <vt:lpstr>水果类!Print_Area</vt:lpstr>
      <vt:lpstr>调料类!Print_Area</vt:lpstr>
      <vt:lpstr>荤菜类!Print_Titles</vt:lpstr>
      <vt:lpstr>蔬菜类!Print_Titles</vt:lpstr>
      <vt:lpstr>水果类!Print_Titles</vt:lpstr>
      <vt:lpstr>调料类!Print_Titles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Dapon</dc:creator>
  <cp:lastModifiedBy>Administrator</cp:lastModifiedBy>
  <cp:lastPrinted>2018-09-03T14:12:51Z</cp:lastPrinted>
  <dcterms:created xsi:type="dcterms:W3CDTF">2018-06-02T14:24:00Z</dcterms:created>
  <dcterms:modified xsi:type="dcterms:W3CDTF">2019-06-02T14:05:15Z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2052-10.8.2.6613</vt:lpwstr>
  </property>
  <property fmtid="{D5CDD505-2E9C-101B-9397-08002B2CF9AE}" pid="3" name="KSOReadingLayout">
    <vt:bool>false</vt:bool>
  </property>
</Properties>
</file>